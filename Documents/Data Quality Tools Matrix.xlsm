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GitHub\data-utility-tools\Documents\"/>
    </mc:Choice>
  </mc:AlternateContent>
  <xr:revisionPtr revIDLastSave="0" documentId="13_ncr:1_{AA9E8B6D-906F-425D-AEC4-60775FB662B8}" xr6:coauthVersionLast="44" xr6:coauthVersionMax="44" xr10:uidLastSave="{00000000-0000-0000-0000-000000000000}"/>
  <bookViews>
    <workbookView xWindow="-120" yWindow="-120" windowWidth="29040" windowHeight="18240" activeTab="2" xr2:uid="{51179F97-9248-4A7C-A4AD-4D512A400D42}"/>
  </bookViews>
  <sheets>
    <sheet name="Definitions" sheetId="6" r:id="rId1"/>
    <sheet name="Tool Connectivity, Data Formats" sheetId="22" r:id="rId2"/>
    <sheet name="Tool Matrix" sheetId="20" r:id="rId3"/>
    <sheet name="Tool Ranking" sheetId="21" r:id="rId4"/>
    <sheet name="FeatureTree" sheetId="19" r:id="rId5"/>
    <sheet name="Tool Features" sheetId="4" state="veryHidden" r:id="rId6"/>
    <sheet name="Info Cards" sheetId="18" state="hidden" r:id="rId7"/>
  </sheets>
  <definedNames>
    <definedName name="_xlnm._FilterDatabase" localSheetId="3" hidden="1">'Tool Ranking'!$B$4:$H$4</definedName>
    <definedName name="Groups" comment="Named Range to automatically include new entries" localSheetId="4">OFFSET(FeatureTree!$A$1,0,0,COUNTA(FeatureTree!$A:$D),1)</definedName>
    <definedName name="InfoCards" localSheetId="6">'Info Cards'!$B$1:$J$29</definedName>
    <definedName name="ToolFormulas" localSheetId="2">OFFSET('Tool Matrix'!$B$6,0,0,COUNTA('Tool Matrix'!$B:$Q),1)</definedName>
    <definedName name="Tools" localSheetId="2">'Tool Matrix'!$B$4:$B$31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13" i="4" l="1"/>
  <c r="F313" i="4"/>
  <c r="E313" i="4"/>
  <c r="D313" i="4"/>
  <c r="G312" i="4"/>
  <c r="F312" i="4"/>
  <c r="E312" i="4"/>
  <c r="D312" i="4"/>
  <c r="G311" i="4"/>
  <c r="F311" i="4"/>
  <c r="E311" i="4"/>
  <c r="D311" i="4"/>
  <c r="G310" i="4"/>
  <c r="F310" i="4"/>
  <c r="E310" i="4"/>
  <c r="D310" i="4"/>
  <c r="G309" i="4"/>
  <c r="F309" i="4"/>
  <c r="E309" i="4"/>
  <c r="D309" i="4"/>
  <c r="G308" i="4"/>
  <c r="F308" i="4"/>
  <c r="E308" i="4"/>
  <c r="D308" i="4"/>
  <c r="G307" i="4"/>
  <c r="F307" i="4"/>
  <c r="E307" i="4"/>
  <c r="D307" i="4"/>
  <c r="G306" i="4"/>
  <c r="F306" i="4"/>
  <c r="E306" i="4"/>
  <c r="D306" i="4"/>
  <c r="G305" i="4"/>
  <c r="F305" i="4"/>
  <c r="E305" i="4"/>
  <c r="D305" i="4"/>
  <c r="G304" i="4"/>
  <c r="F304" i="4"/>
  <c r="E304" i="4"/>
  <c r="D304" i="4"/>
  <c r="G303" i="4"/>
  <c r="F303" i="4"/>
  <c r="E303" i="4"/>
  <c r="D303" i="4"/>
  <c r="G302" i="4"/>
  <c r="F302" i="4"/>
  <c r="E302" i="4"/>
  <c r="D302" i="4"/>
  <c r="G301" i="4"/>
  <c r="F301" i="4"/>
  <c r="E301" i="4"/>
  <c r="D301" i="4"/>
  <c r="G300" i="4"/>
  <c r="F300" i="4"/>
  <c r="E300" i="4"/>
  <c r="D300" i="4"/>
  <c r="G299" i="4"/>
  <c r="F299" i="4"/>
  <c r="E299" i="4"/>
  <c r="D299" i="4"/>
  <c r="G298" i="4"/>
  <c r="F298" i="4"/>
  <c r="E298" i="4"/>
  <c r="D298" i="4"/>
  <c r="G297" i="4"/>
  <c r="F297" i="4"/>
  <c r="E297" i="4"/>
  <c r="D297" i="4"/>
  <c r="G296" i="4"/>
  <c r="F296" i="4"/>
  <c r="E296" i="4"/>
  <c r="D296" i="4"/>
  <c r="G295" i="4"/>
  <c r="F295" i="4"/>
  <c r="E295" i="4"/>
  <c r="D295" i="4"/>
  <c r="G294" i="4"/>
  <c r="F294" i="4"/>
  <c r="E294" i="4"/>
  <c r="D294" i="4"/>
  <c r="G293" i="4"/>
  <c r="F293" i="4"/>
  <c r="E293" i="4"/>
  <c r="D293" i="4"/>
  <c r="G292" i="4"/>
  <c r="F292" i="4"/>
  <c r="E292" i="4"/>
  <c r="D292" i="4"/>
  <c r="G291" i="4"/>
  <c r="F291" i="4"/>
  <c r="E291" i="4"/>
  <c r="D291" i="4"/>
  <c r="G290" i="4"/>
  <c r="F290" i="4"/>
  <c r="E290" i="4"/>
  <c r="D290" i="4"/>
  <c r="G289" i="4"/>
  <c r="F289" i="4"/>
  <c r="E289" i="4"/>
  <c r="D289" i="4"/>
  <c r="G288" i="4"/>
  <c r="F288" i="4"/>
  <c r="E288" i="4"/>
  <c r="D288" i="4"/>
  <c r="G287" i="4"/>
  <c r="F287" i="4"/>
  <c r="E287" i="4"/>
  <c r="D287" i="4"/>
  <c r="G286" i="4"/>
  <c r="F286" i="4"/>
  <c r="E286" i="4"/>
  <c r="D286" i="4"/>
  <c r="G285" i="4"/>
  <c r="F285" i="4"/>
  <c r="E285" i="4"/>
  <c r="D285" i="4"/>
  <c r="G284" i="4" l="1"/>
  <c r="F284" i="4"/>
  <c r="E284" i="4"/>
  <c r="D284" i="4"/>
  <c r="G283" i="4"/>
  <c r="F283" i="4"/>
  <c r="E283" i="4"/>
  <c r="D283" i="4"/>
  <c r="G282" i="4"/>
  <c r="F282" i="4"/>
  <c r="E282" i="4"/>
  <c r="D282" i="4"/>
  <c r="G281" i="4"/>
  <c r="F281" i="4"/>
  <c r="E281" i="4"/>
  <c r="D281" i="4"/>
  <c r="G280" i="4"/>
  <c r="F280" i="4"/>
  <c r="E280" i="4"/>
  <c r="D280" i="4"/>
  <c r="G279" i="4"/>
  <c r="F279" i="4"/>
  <c r="E279" i="4"/>
  <c r="D279" i="4"/>
  <c r="G278" i="4"/>
  <c r="F278" i="4"/>
  <c r="E278" i="4"/>
  <c r="D278" i="4"/>
  <c r="G277" i="4"/>
  <c r="F277" i="4"/>
  <c r="E277" i="4"/>
  <c r="D277" i="4"/>
  <c r="G276" i="4"/>
  <c r="F276" i="4"/>
  <c r="E276" i="4"/>
  <c r="D276" i="4"/>
  <c r="G275" i="4"/>
  <c r="F275" i="4"/>
  <c r="E275" i="4"/>
  <c r="D275" i="4"/>
  <c r="G274" i="4"/>
  <c r="F274" i="4"/>
  <c r="E274" i="4"/>
  <c r="D274" i="4"/>
  <c r="G273" i="4"/>
  <c r="F273" i="4"/>
  <c r="E273" i="4"/>
  <c r="D273" i="4"/>
  <c r="G272" i="4"/>
  <c r="F272" i="4"/>
  <c r="E272" i="4"/>
  <c r="D272" i="4"/>
  <c r="G271" i="4"/>
  <c r="F271" i="4"/>
  <c r="E271" i="4"/>
  <c r="D271" i="4"/>
  <c r="G270" i="4"/>
  <c r="F270" i="4"/>
  <c r="E270" i="4"/>
  <c r="D270" i="4"/>
  <c r="G269" i="4"/>
  <c r="F269" i="4"/>
  <c r="E269" i="4"/>
  <c r="D269" i="4"/>
  <c r="G268" i="4"/>
  <c r="F268" i="4"/>
  <c r="E268" i="4"/>
  <c r="D268" i="4"/>
  <c r="G267" i="4"/>
  <c r="F267" i="4"/>
  <c r="E267" i="4"/>
  <c r="D267" i="4"/>
  <c r="G266" i="4"/>
  <c r="F266" i="4"/>
  <c r="E266" i="4"/>
  <c r="D266" i="4"/>
  <c r="G265" i="4"/>
  <c r="F265" i="4"/>
  <c r="E265" i="4"/>
  <c r="D265" i="4"/>
  <c r="G264" i="4"/>
  <c r="F264" i="4"/>
  <c r="E264" i="4"/>
  <c r="D264" i="4"/>
  <c r="G263" i="4"/>
  <c r="F263" i="4"/>
  <c r="E263" i="4"/>
  <c r="D263" i="4"/>
  <c r="G262" i="4"/>
  <c r="F262" i="4"/>
  <c r="E262" i="4"/>
  <c r="D262" i="4"/>
  <c r="G261" i="4"/>
  <c r="F261" i="4"/>
  <c r="E261" i="4"/>
  <c r="D261" i="4"/>
  <c r="G260" i="4"/>
  <c r="F260" i="4"/>
  <c r="E260" i="4"/>
  <c r="D260" i="4"/>
  <c r="G259" i="4"/>
  <c r="F259" i="4"/>
  <c r="E259" i="4"/>
  <c r="D259" i="4"/>
  <c r="G258" i="4"/>
  <c r="F258" i="4"/>
  <c r="E258" i="4"/>
  <c r="D258" i="4"/>
  <c r="G257" i="4"/>
  <c r="F257" i="4"/>
  <c r="E257" i="4"/>
  <c r="D257" i="4"/>
  <c r="G256" i="4"/>
  <c r="F256" i="4"/>
  <c r="E256" i="4"/>
  <c r="D256" i="4"/>
  <c r="G255" i="4"/>
  <c r="F255" i="4"/>
  <c r="E255" i="4"/>
  <c r="D255" i="4"/>
  <c r="G254" i="4"/>
  <c r="F254" i="4"/>
  <c r="E254" i="4"/>
  <c r="D254" i="4"/>
  <c r="G253" i="4"/>
  <c r="F253" i="4"/>
  <c r="E253" i="4"/>
  <c r="D253" i="4"/>
  <c r="G252" i="4"/>
  <c r="F252" i="4"/>
  <c r="E252" i="4"/>
  <c r="D252" i="4"/>
  <c r="G251" i="4"/>
  <c r="F251" i="4"/>
  <c r="E251" i="4"/>
  <c r="D251" i="4"/>
  <c r="G250" i="4"/>
  <c r="F250" i="4"/>
  <c r="E250" i="4"/>
  <c r="D250" i="4"/>
  <c r="G249" i="4"/>
  <c r="F249" i="4"/>
  <c r="E249" i="4"/>
  <c r="D249" i="4"/>
  <c r="G248" i="4"/>
  <c r="F248" i="4"/>
  <c r="E248" i="4"/>
  <c r="D248" i="4"/>
  <c r="G247" i="4"/>
  <c r="F247" i="4"/>
  <c r="E247" i="4"/>
  <c r="D247" i="4"/>
  <c r="G246" i="4"/>
  <c r="F246" i="4"/>
  <c r="E246" i="4"/>
  <c r="D246" i="4"/>
  <c r="G245" i="4"/>
  <c r="F245" i="4"/>
  <c r="E245" i="4"/>
  <c r="D245" i="4"/>
  <c r="G244" i="4"/>
  <c r="F244" i="4"/>
  <c r="E244" i="4"/>
  <c r="D244" i="4"/>
  <c r="G243" i="4"/>
  <c r="F243" i="4"/>
  <c r="E243" i="4"/>
  <c r="D243" i="4"/>
  <c r="G242" i="4"/>
  <c r="F242" i="4"/>
  <c r="E242" i="4"/>
  <c r="D242" i="4"/>
  <c r="G241" i="4"/>
  <c r="F241" i="4"/>
  <c r="E241" i="4"/>
  <c r="D241" i="4"/>
  <c r="G240" i="4"/>
  <c r="F240" i="4"/>
  <c r="E240" i="4"/>
  <c r="D240" i="4"/>
  <c r="G239" i="4"/>
  <c r="F239" i="4"/>
  <c r="E239" i="4"/>
  <c r="D239" i="4"/>
  <c r="G238" i="4"/>
  <c r="F238" i="4"/>
  <c r="E238" i="4"/>
  <c r="D238" i="4"/>
  <c r="G237" i="4"/>
  <c r="F237" i="4"/>
  <c r="E237" i="4"/>
  <c r="D237" i="4"/>
  <c r="G236" i="4"/>
  <c r="F236" i="4"/>
  <c r="E236" i="4"/>
  <c r="D236" i="4"/>
  <c r="G235" i="4"/>
  <c r="F235" i="4"/>
  <c r="E235" i="4"/>
  <c r="D235" i="4"/>
  <c r="G234" i="4"/>
  <c r="F234" i="4"/>
  <c r="E234" i="4"/>
  <c r="D234" i="4"/>
  <c r="G233" i="4"/>
  <c r="F233" i="4"/>
  <c r="E233" i="4"/>
  <c r="D233" i="4"/>
  <c r="G232" i="4"/>
  <c r="F232" i="4"/>
  <c r="E232" i="4"/>
  <c r="D232" i="4"/>
  <c r="G231" i="4"/>
  <c r="F231" i="4"/>
  <c r="E231" i="4"/>
  <c r="D231" i="4"/>
  <c r="G230" i="4"/>
  <c r="F230" i="4"/>
  <c r="E230" i="4"/>
  <c r="D230" i="4"/>
  <c r="G229" i="4"/>
  <c r="F229" i="4"/>
  <c r="E229" i="4"/>
  <c r="D229" i="4"/>
  <c r="G228" i="4"/>
  <c r="F228" i="4"/>
  <c r="E228" i="4"/>
  <c r="D228" i="4"/>
  <c r="G227" i="4"/>
  <c r="F227" i="4"/>
  <c r="E227" i="4"/>
  <c r="D227" i="4"/>
  <c r="G226" i="4"/>
  <c r="F226" i="4"/>
  <c r="E226" i="4"/>
  <c r="D226" i="4"/>
  <c r="G225" i="4"/>
  <c r="F225" i="4"/>
  <c r="E225" i="4"/>
  <c r="D225" i="4"/>
  <c r="G224" i="4"/>
  <c r="F224" i="4"/>
  <c r="E224" i="4"/>
  <c r="D224" i="4"/>
  <c r="G223" i="4"/>
  <c r="F223" i="4"/>
  <c r="E223" i="4"/>
  <c r="D223" i="4"/>
  <c r="G222" i="4"/>
  <c r="F222" i="4"/>
  <c r="E222" i="4"/>
  <c r="D222" i="4"/>
  <c r="G221" i="4"/>
  <c r="F221" i="4"/>
  <c r="E221" i="4"/>
  <c r="D221" i="4"/>
  <c r="G220" i="4"/>
  <c r="F220" i="4"/>
  <c r="E220" i="4"/>
  <c r="D220" i="4"/>
  <c r="G219" i="4"/>
  <c r="F219" i="4"/>
  <c r="E219" i="4"/>
  <c r="D219" i="4"/>
  <c r="G218" i="4"/>
  <c r="F218" i="4"/>
  <c r="E218" i="4"/>
  <c r="D218" i="4"/>
  <c r="G217" i="4"/>
  <c r="F217" i="4"/>
  <c r="E217" i="4"/>
  <c r="D217" i="4"/>
  <c r="G216" i="4"/>
  <c r="F216" i="4"/>
  <c r="E216" i="4"/>
  <c r="D216" i="4"/>
  <c r="G215" i="4"/>
  <c r="F215" i="4"/>
  <c r="E215" i="4"/>
  <c r="D215" i="4"/>
  <c r="G214" i="4"/>
  <c r="F214" i="4"/>
  <c r="E214" i="4"/>
  <c r="D214" i="4"/>
  <c r="G213" i="4"/>
  <c r="F213" i="4"/>
  <c r="E213" i="4"/>
  <c r="D213" i="4"/>
  <c r="G212" i="4"/>
  <c r="F212" i="4"/>
  <c r="E212" i="4"/>
  <c r="D212" i="4"/>
  <c r="G211" i="4"/>
  <c r="F211" i="4"/>
  <c r="E211" i="4"/>
  <c r="D211" i="4"/>
  <c r="G210" i="4"/>
  <c r="F210" i="4"/>
  <c r="E210" i="4"/>
  <c r="D210" i="4"/>
  <c r="G209" i="4"/>
  <c r="F209" i="4"/>
  <c r="E209" i="4"/>
  <c r="D209" i="4"/>
  <c r="G208" i="4"/>
  <c r="F208" i="4"/>
  <c r="E208" i="4"/>
  <c r="D208" i="4"/>
  <c r="G207" i="4"/>
  <c r="F207" i="4"/>
  <c r="E207" i="4"/>
  <c r="D207" i="4"/>
  <c r="G206" i="4"/>
  <c r="F206" i="4"/>
  <c r="E206" i="4"/>
  <c r="D206" i="4"/>
  <c r="G205" i="4"/>
  <c r="F205" i="4"/>
  <c r="E205" i="4"/>
  <c r="D205" i="4"/>
  <c r="G204" i="4"/>
  <c r="F204" i="4"/>
  <c r="E204" i="4"/>
  <c r="D204" i="4"/>
  <c r="G203" i="4"/>
  <c r="F203" i="4"/>
  <c r="E203" i="4"/>
  <c r="D203" i="4"/>
  <c r="G202" i="4"/>
  <c r="F202" i="4"/>
  <c r="E202" i="4"/>
  <c r="D202" i="4"/>
  <c r="G201" i="4"/>
  <c r="F201" i="4"/>
  <c r="E201" i="4"/>
  <c r="D201" i="4"/>
  <c r="G200" i="4"/>
  <c r="F200" i="4"/>
  <c r="E200" i="4"/>
  <c r="D200" i="4"/>
  <c r="G199" i="4"/>
  <c r="F199" i="4"/>
  <c r="E199" i="4"/>
  <c r="D199" i="4"/>
  <c r="G198" i="4"/>
  <c r="F198" i="4"/>
  <c r="E198" i="4"/>
  <c r="D198" i="4"/>
  <c r="G197" i="4"/>
  <c r="F197" i="4"/>
  <c r="E197" i="4"/>
  <c r="D197" i="4"/>
  <c r="G196" i="4"/>
  <c r="F196" i="4"/>
  <c r="E196" i="4"/>
  <c r="D196" i="4"/>
  <c r="G195" i="4"/>
  <c r="F195" i="4"/>
  <c r="E195" i="4"/>
  <c r="D195" i="4"/>
  <c r="G194" i="4"/>
  <c r="F194" i="4"/>
  <c r="E194" i="4"/>
  <c r="D194" i="4"/>
  <c r="G193" i="4"/>
  <c r="F193" i="4"/>
  <c r="E193" i="4"/>
  <c r="D193" i="4"/>
  <c r="G192" i="4"/>
  <c r="F192" i="4"/>
  <c r="E192" i="4"/>
  <c r="D192" i="4"/>
  <c r="G191" i="4"/>
  <c r="F191" i="4"/>
  <c r="E191" i="4"/>
  <c r="D191" i="4"/>
  <c r="G190" i="4"/>
  <c r="F190" i="4"/>
  <c r="E190" i="4"/>
  <c r="D190" i="4"/>
  <c r="G189" i="4"/>
  <c r="F189" i="4"/>
  <c r="E189" i="4"/>
  <c r="D189" i="4"/>
  <c r="G188" i="4"/>
  <c r="F188" i="4"/>
  <c r="E188" i="4"/>
  <c r="D188" i="4"/>
  <c r="G187" i="4"/>
  <c r="F187" i="4"/>
  <c r="E187" i="4"/>
  <c r="D187" i="4"/>
  <c r="G186" i="4"/>
  <c r="F186" i="4"/>
  <c r="E186" i="4"/>
  <c r="D186" i="4"/>
  <c r="G185" i="4"/>
  <c r="F185" i="4"/>
  <c r="E185" i="4"/>
  <c r="D185" i="4"/>
  <c r="G184" i="4"/>
  <c r="F184" i="4"/>
  <c r="E184" i="4"/>
  <c r="D184" i="4"/>
  <c r="G183" i="4"/>
  <c r="F183" i="4"/>
  <c r="E183" i="4"/>
  <c r="D183" i="4"/>
  <c r="G182" i="4"/>
  <c r="F182" i="4"/>
  <c r="E182" i="4"/>
  <c r="D182" i="4"/>
  <c r="G181" i="4"/>
  <c r="F181" i="4"/>
  <c r="E181" i="4"/>
  <c r="D181" i="4"/>
  <c r="G180" i="4"/>
  <c r="F180" i="4"/>
  <c r="E180" i="4"/>
  <c r="D180" i="4"/>
  <c r="G179" i="4"/>
  <c r="F179" i="4"/>
  <c r="E179" i="4"/>
  <c r="D179" i="4"/>
  <c r="G178" i="4"/>
  <c r="F178" i="4"/>
  <c r="E178" i="4"/>
  <c r="D178" i="4"/>
  <c r="G177" i="4"/>
  <c r="F177" i="4"/>
  <c r="E177" i="4"/>
  <c r="D177" i="4"/>
  <c r="G176" i="4"/>
  <c r="F176" i="4"/>
  <c r="E176" i="4"/>
  <c r="D176" i="4"/>
  <c r="G175" i="4"/>
  <c r="F175" i="4"/>
  <c r="E175" i="4"/>
  <c r="D175" i="4"/>
  <c r="G174" i="4"/>
  <c r="F174" i="4"/>
  <c r="E174" i="4"/>
  <c r="D174" i="4"/>
  <c r="G173" i="4"/>
  <c r="F173" i="4"/>
  <c r="E173" i="4"/>
  <c r="D173" i="4"/>
  <c r="G172" i="4"/>
  <c r="F172" i="4"/>
  <c r="E172" i="4"/>
  <c r="D172" i="4"/>
  <c r="G171" i="4"/>
  <c r="F171" i="4"/>
  <c r="E171" i="4"/>
  <c r="D171" i="4"/>
  <c r="G170" i="4"/>
  <c r="F170" i="4"/>
  <c r="E170" i="4"/>
  <c r="D170" i="4"/>
  <c r="G169" i="4"/>
  <c r="F169" i="4"/>
  <c r="E169" i="4"/>
  <c r="D169" i="4"/>
  <c r="G168" i="4"/>
  <c r="F168" i="4"/>
  <c r="E168" i="4"/>
  <c r="D168" i="4"/>
  <c r="G167" i="4"/>
  <c r="F167" i="4"/>
  <c r="E167" i="4"/>
  <c r="D167" i="4"/>
  <c r="G166" i="4"/>
  <c r="F166" i="4"/>
  <c r="E166" i="4"/>
  <c r="D166" i="4"/>
  <c r="G165" i="4"/>
  <c r="F165" i="4"/>
  <c r="E165" i="4"/>
  <c r="D165" i="4"/>
  <c r="G164" i="4"/>
  <c r="F164" i="4"/>
  <c r="E164" i="4"/>
  <c r="D164" i="4"/>
  <c r="G163" i="4"/>
  <c r="F163" i="4"/>
  <c r="E163" i="4"/>
  <c r="D163" i="4"/>
  <c r="G162" i="4"/>
  <c r="F162" i="4"/>
  <c r="E162" i="4"/>
  <c r="D162" i="4"/>
  <c r="G161" i="4"/>
  <c r="F161" i="4"/>
  <c r="E161" i="4"/>
  <c r="D161" i="4"/>
  <c r="G160" i="4"/>
  <c r="F160" i="4"/>
  <c r="E160" i="4"/>
  <c r="D160" i="4"/>
  <c r="G159" i="4"/>
  <c r="F159" i="4"/>
  <c r="E159" i="4"/>
  <c r="D159" i="4"/>
  <c r="G158" i="4"/>
  <c r="F158" i="4"/>
  <c r="E158" i="4"/>
  <c r="D158" i="4"/>
  <c r="G157" i="4"/>
  <c r="F157" i="4"/>
  <c r="E157" i="4"/>
  <c r="D157" i="4"/>
  <c r="G156" i="4"/>
  <c r="F156" i="4"/>
  <c r="E156" i="4"/>
  <c r="D156" i="4"/>
  <c r="G155" i="4"/>
  <c r="F155" i="4"/>
  <c r="E155" i="4"/>
  <c r="D155" i="4"/>
  <c r="G154" i="4"/>
  <c r="F154" i="4"/>
  <c r="E154" i="4"/>
  <c r="D154" i="4"/>
  <c r="G153" i="4"/>
  <c r="F153" i="4"/>
  <c r="E153" i="4"/>
  <c r="D153" i="4"/>
  <c r="G152" i="4"/>
  <c r="F152" i="4"/>
  <c r="E152" i="4"/>
  <c r="D152" i="4"/>
  <c r="G151" i="4"/>
  <c r="F151" i="4"/>
  <c r="E151" i="4"/>
  <c r="D151" i="4"/>
  <c r="G150" i="4"/>
  <c r="F150" i="4"/>
  <c r="E150" i="4"/>
  <c r="D150" i="4"/>
  <c r="G149" i="4"/>
  <c r="F149" i="4"/>
  <c r="E149" i="4"/>
  <c r="D149" i="4"/>
  <c r="G148" i="4"/>
  <c r="F148" i="4"/>
  <c r="E148" i="4"/>
  <c r="D148" i="4"/>
  <c r="G147" i="4"/>
  <c r="F147" i="4"/>
  <c r="E147" i="4"/>
  <c r="D147" i="4"/>
  <c r="G146" i="4"/>
  <c r="F146" i="4"/>
  <c r="E146" i="4"/>
  <c r="D146" i="4"/>
  <c r="G145" i="4"/>
  <c r="F145" i="4"/>
  <c r="E145" i="4"/>
  <c r="D145" i="4"/>
  <c r="G144" i="4"/>
  <c r="F144" i="4"/>
  <c r="E144" i="4"/>
  <c r="D144" i="4"/>
  <c r="G143" i="4"/>
  <c r="F143" i="4"/>
  <c r="E143" i="4"/>
  <c r="D143" i="4"/>
  <c r="G142" i="4"/>
  <c r="F142" i="4"/>
  <c r="E142" i="4"/>
  <c r="D142" i="4"/>
  <c r="G141" i="4"/>
  <c r="F141" i="4"/>
  <c r="E141" i="4"/>
  <c r="D141" i="4"/>
  <c r="G140" i="4"/>
  <c r="F140" i="4"/>
  <c r="E140" i="4"/>
  <c r="D140" i="4"/>
  <c r="G139" i="4"/>
  <c r="F139" i="4"/>
  <c r="E139" i="4"/>
  <c r="D139" i="4"/>
  <c r="G138" i="4"/>
  <c r="F138" i="4"/>
  <c r="E138" i="4"/>
  <c r="D138" i="4"/>
  <c r="G137" i="4"/>
  <c r="F137" i="4"/>
  <c r="E137" i="4"/>
  <c r="D137" i="4"/>
  <c r="G136" i="4"/>
  <c r="F136" i="4"/>
  <c r="E136" i="4"/>
  <c r="D136" i="4"/>
  <c r="G135" i="4"/>
  <c r="F135" i="4"/>
  <c r="E135" i="4"/>
  <c r="D135" i="4"/>
  <c r="G134" i="4"/>
  <c r="F134" i="4"/>
  <c r="E134" i="4"/>
  <c r="D134" i="4"/>
  <c r="G133" i="4"/>
  <c r="F133" i="4"/>
  <c r="E133" i="4"/>
  <c r="D133" i="4"/>
  <c r="G132" i="4"/>
  <c r="F132" i="4"/>
  <c r="E132" i="4"/>
  <c r="D132" i="4"/>
  <c r="G131" i="4"/>
  <c r="F131" i="4"/>
  <c r="E131" i="4"/>
  <c r="D131" i="4"/>
  <c r="G130" i="4"/>
  <c r="F130" i="4"/>
  <c r="E130" i="4"/>
  <c r="D130" i="4"/>
  <c r="G129" i="4"/>
  <c r="F129" i="4"/>
  <c r="E129" i="4"/>
  <c r="D129" i="4"/>
  <c r="G128" i="4"/>
  <c r="F128" i="4"/>
  <c r="E128" i="4"/>
  <c r="D128" i="4"/>
  <c r="G127" i="4"/>
  <c r="F127" i="4"/>
  <c r="E127" i="4"/>
  <c r="D127" i="4"/>
  <c r="G126" i="4"/>
  <c r="F126" i="4"/>
  <c r="E126" i="4"/>
  <c r="D126" i="4"/>
  <c r="G125" i="4"/>
  <c r="F125" i="4"/>
  <c r="E125" i="4"/>
  <c r="D125" i="4"/>
  <c r="G124" i="4"/>
  <c r="F124" i="4"/>
  <c r="E124" i="4"/>
  <c r="D124" i="4"/>
  <c r="G123" i="4"/>
  <c r="F123" i="4"/>
  <c r="E123" i="4"/>
  <c r="D123" i="4"/>
  <c r="G122" i="4"/>
  <c r="F122" i="4"/>
  <c r="E122" i="4"/>
  <c r="D122" i="4"/>
  <c r="G121" i="4"/>
  <c r="F121" i="4"/>
  <c r="E121" i="4"/>
  <c r="D121" i="4"/>
  <c r="G120" i="4"/>
  <c r="F120" i="4"/>
  <c r="E120" i="4"/>
  <c r="D120" i="4"/>
  <c r="G119" i="4"/>
  <c r="F119" i="4"/>
  <c r="E119" i="4"/>
  <c r="D119" i="4"/>
  <c r="G118" i="4"/>
  <c r="F118" i="4"/>
  <c r="E118" i="4"/>
  <c r="D118" i="4"/>
  <c r="G117" i="4"/>
  <c r="F117" i="4"/>
  <c r="E117" i="4"/>
  <c r="D117" i="4"/>
  <c r="G116" i="4"/>
  <c r="F116" i="4"/>
  <c r="E116" i="4"/>
  <c r="D116" i="4"/>
  <c r="G115" i="4"/>
  <c r="F115" i="4"/>
  <c r="E115" i="4"/>
  <c r="D115" i="4"/>
  <c r="G114" i="4"/>
  <c r="F114" i="4"/>
  <c r="E114" i="4"/>
  <c r="D114" i="4"/>
  <c r="G113" i="4"/>
  <c r="F113" i="4"/>
  <c r="E113" i="4"/>
  <c r="D113" i="4"/>
  <c r="G112" i="4"/>
  <c r="F112" i="4"/>
  <c r="E112" i="4"/>
  <c r="D112" i="4"/>
  <c r="G111" i="4"/>
  <c r="F111" i="4"/>
  <c r="E111" i="4"/>
  <c r="D111" i="4"/>
  <c r="G110" i="4"/>
  <c r="F110" i="4"/>
  <c r="E110" i="4"/>
  <c r="D110" i="4"/>
  <c r="G109" i="4"/>
  <c r="F109" i="4"/>
  <c r="E109" i="4"/>
  <c r="D109" i="4"/>
  <c r="G108" i="4"/>
  <c r="F108" i="4"/>
  <c r="E108" i="4"/>
  <c r="D108" i="4"/>
  <c r="G107" i="4"/>
  <c r="F107" i="4"/>
  <c r="E107" i="4"/>
  <c r="D107" i="4"/>
  <c r="G106" i="4"/>
  <c r="F106" i="4"/>
  <c r="E106" i="4"/>
  <c r="D106" i="4"/>
  <c r="G105" i="4"/>
  <c r="F105" i="4"/>
  <c r="E105" i="4"/>
  <c r="D105" i="4"/>
  <c r="G104" i="4"/>
  <c r="F104" i="4"/>
  <c r="E104" i="4"/>
  <c r="D104" i="4"/>
  <c r="G103" i="4"/>
  <c r="F103" i="4"/>
  <c r="E103" i="4"/>
  <c r="D103" i="4"/>
  <c r="G102" i="4"/>
  <c r="F102" i="4"/>
  <c r="E102" i="4"/>
  <c r="D102" i="4"/>
  <c r="G101" i="4"/>
  <c r="F101" i="4"/>
  <c r="E101" i="4"/>
  <c r="D101" i="4"/>
  <c r="G100" i="4"/>
  <c r="F100" i="4"/>
  <c r="E100" i="4"/>
  <c r="D100" i="4"/>
  <c r="G99" i="4"/>
  <c r="F99" i="4"/>
  <c r="E99" i="4"/>
  <c r="D99" i="4"/>
  <c r="G98" i="4"/>
  <c r="F98" i="4"/>
  <c r="E98" i="4"/>
  <c r="D98" i="4"/>
  <c r="G97" i="4"/>
  <c r="F97" i="4"/>
  <c r="E97" i="4"/>
  <c r="D97" i="4"/>
  <c r="G96" i="4"/>
  <c r="F96" i="4"/>
  <c r="E96" i="4"/>
  <c r="D96" i="4"/>
  <c r="G95" i="4"/>
  <c r="F95" i="4"/>
  <c r="E95" i="4"/>
  <c r="D95" i="4"/>
  <c r="G94" i="4"/>
  <c r="F94" i="4"/>
  <c r="E94" i="4"/>
  <c r="D94" i="4"/>
  <c r="G93" i="4"/>
  <c r="F93" i="4"/>
  <c r="E93" i="4"/>
  <c r="D93" i="4"/>
  <c r="G92" i="4"/>
  <c r="F92" i="4"/>
  <c r="E92" i="4"/>
  <c r="D92" i="4"/>
  <c r="G91" i="4"/>
  <c r="F91" i="4"/>
  <c r="E91" i="4"/>
  <c r="D91" i="4"/>
  <c r="G90" i="4"/>
  <c r="F90" i="4"/>
  <c r="E90" i="4"/>
  <c r="D90" i="4"/>
  <c r="G89" i="4"/>
  <c r="F89" i="4"/>
  <c r="E89" i="4"/>
  <c r="D89" i="4"/>
  <c r="G88" i="4"/>
  <c r="F88" i="4"/>
  <c r="E88" i="4"/>
  <c r="D88" i="4"/>
  <c r="G87" i="4"/>
  <c r="F87" i="4"/>
  <c r="E87" i="4"/>
  <c r="D87" i="4"/>
  <c r="G86" i="4"/>
  <c r="F86" i="4"/>
  <c r="E86" i="4"/>
  <c r="D86" i="4"/>
  <c r="G85" i="4"/>
  <c r="F85" i="4"/>
  <c r="E85" i="4"/>
  <c r="D85" i="4"/>
  <c r="G84" i="4"/>
  <c r="F84" i="4"/>
  <c r="E84" i="4"/>
  <c r="D84" i="4"/>
  <c r="G83" i="4"/>
  <c r="F83" i="4"/>
  <c r="E83" i="4"/>
  <c r="D83" i="4"/>
  <c r="G82" i="4"/>
  <c r="F82" i="4"/>
  <c r="E82" i="4"/>
  <c r="D82" i="4"/>
  <c r="G81" i="4"/>
  <c r="F81" i="4"/>
  <c r="E81" i="4"/>
  <c r="D81" i="4"/>
  <c r="G80" i="4"/>
  <c r="F80" i="4"/>
  <c r="E80" i="4"/>
  <c r="D80" i="4"/>
  <c r="G79" i="4"/>
  <c r="F79" i="4"/>
  <c r="E79" i="4"/>
  <c r="D79" i="4"/>
  <c r="G78" i="4"/>
  <c r="F78" i="4"/>
  <c r="E78" i="4"/>
  <c r="D78" i="4"/>
  <c r="G77" i="4"/>
  <c r="F77" i="4"/>
  <c r="E77" i="4"/>
  <c r="D77" i="4"/>
  <c r="G76" i="4"/>
  <c r="F76" i="4"/>
  <c r="E76" i="4"/>
  <c r="D76" i="4"/>
  <c r="G75" i="4"/>
  <c r="F75" i="4"/>
  <c r="E75" i="4"/>
  <c r="D75" i="4"/>
  <c r="G74" i="4"/>
  <c r="F74" i="4"/>
  <c r="E74" i="4"/>
  <c r="D74" i="4"/>
  <c r="G73" i="4"/>
  <c r="F73" i="4"/>
  <c r="E73" i="4"/>
  <c r="D73" i="4"/>
  <c r="G72" i="4"/>
  <c r="F72" i="4"/>
  <c r="E72" i="4"/>
  <c r="D72" i="4"/>
  <c r="G71" i="4"/>
  <c r="F71" i="4"/>
  <c r="E71" i="4"/>
  <c r="D71" i="4"/>
  <c r="G70" i="4"/>
  <c r="F70" i="4"/>
  <c r="E70" i="4"/>
  <c r="D70" i="4"/>
  <c r="G69" i="4"/>
  <c r="F69" i="4"/>
  <c r="E69" i="4"/>
  <c r="D69" i="4"/>
  <c r="G68" i="4"/>
  <c r="F68" i="4"/>
  <c r="E68" i="4"/>
  <c r="D68" i="4"/>
  <c r="G67" i="4"/>
  <c r="F67" i="4"/>
  <c r="E67" i="4"/>
  <c r="D67" i="4"/>
  <c r="G66" i="4"/>
  <c r="F66" i="4"/>
  <c r="E66" i="4"/>
  <c r="D66" i="4"/>
  <c r="G65" i="4"/>
  <c r="F65" i="4"/>
  <c r="E65" i="4"/>
  <c r="D65" i="4"/>
  <c r="G64" i="4"/>
  <c r="F64" i="4"/>
  <c r="E64" i="4"/>
  <c r="D64" i="4"/>
  <c r="G63" i="4"/>
  <c r="F63" i="4"/>
  <c r="E63" i="4"/>
  <c r="D63" i="4"/>
  <c r="G62" i="4"/>
  <c r="F62" i="4"/>
  <c r="E62" i="4"/>
  <c r="D62" i="4"/>
  <c r="G61" i="4"/>
  <c r="F61" i="4"/>
  <c r="E61" i="4"/>
  <c r="D61" i="4"/>
  <c r="G60" i="4"/>
  <c r="F60" i="4"/>
  <c r="E60" i="4"/>
  <c r="D60" i="4"/>
  <c r="G59" i="4"/>
  <c r="F59" i="4"/>
  <c r="E59" i="4"/>
  <c r="D59" i="4"/>
  <c r="G58" i="4"/>
  <c r="F58" i="4"/>
  <c r="E58" i="4"/>
  <c r="D58" i="4"/>
  <c r="G57" i="4"/>
  <c r="F57" i="4"/>
  <c r="E57" i="4"/>
  <c r="D57" i="4"/>
  <c r="G56" i="4"/>
  <c r="F56" i="4"/>
  <c r="E56" i="4"/>
  <c r="D56" i="4"/>
  <c r="G55" i="4"/>
  <c r="F55" i="4"/>
  <c r="E55" i="4"/>
  <c r="D55" i="4"/>
  <c r="G54" i="4"/>
  <c r="F54" i="4"/>
  <c r="E54" i="4"/>
  <c r="D54" i="4"/>
  <c r="G53" i="4"/>
  <c r="F53" i="4"/>
  <c r="E53" i="4"/>
  <c r="D53" i="4"/>
  <c r="G52" i="4"/>
  <c r="F52" i="4"/>
  <c r="E52" i="4"/>
  <c r="D52" i="4"/>
  <c r="G51" i="4"/>
  <c r="F51" i="4"/>
  <c r="E51" i="4"/>
  <c r="D51" i="4"/>
  <c r="G50" i="4"/>
  <c r="F50" i="4"/>
  <c r="E50" i="4"/>
  <c r="D50" i="4"/>
  <c r="G49" i="4"/>
  <c r="F49" i="4"/>
  <c r="E49" i="4"/>
  <c r="D49" i="4"/>
  <c r="G48" i="4"/>
  <c r="F48" i="4"/>
  <c r="E48" i="4"/>
  <c r="D48" i="4"/>
  <c r="G47" i="4"/>
  <c r="F47" i="4"/>
  <c r="E47" i="4"/>
  <c r="D47" i="4"/>
  <c r="G46" i="4"/>
  <c r="F46" i="4"/>
  <c r="E46" i="4"/>
  <c r="D46" i="4"/>
  <c r="G45" i="4"/>
  <c r="F45" i="4"/>
  <c r="E45" i="4"/>
  <c r="D45" i="4"/>
  <c r="G44" i="4"/>
  <c r="F44" i="4"/>
  <c r="E44" i="4"/>
  <c r="D44" i="4"/>
  <c r="G43" i="4"/>
  <c r="F43" i="4"/>
  <c r="E43" i="4"/>
  <c r="D43" i="4"/>
  <c r="G42" i="4"/>
  <c r="F42" i="4"/>
  <c r="E42" i="4"/>
  <c r="D42" i="4"/>
  <c r="G41" i="4"/>
  <c r="F41" i="4"/>
  <c r="E41" i="4"/>
  <c r="D41" i="4"/>
  <c r="G40" i="4"/>
  <c r="F40" i="4"/>
  <c r="E40" i="4"/>
  <c r="D40" i="4"/>
  <c r="G39" i="4"/>
  <c r="F39" i="4"/>
  <c r="E39" i="4"/>
  <c r="D39" i="4"/>
  <c r="G38" i="4"/>
  <c r="F38" i="4"/>
  <c r="E38" i="4"/>
  <c r="D38" i="4"/>
  <c r="G37" i="4"/>
  <c r="F37" i="4"/>
  <c r="E37" i="4"/>
  <c r="D37" i="4"/>
  <c r="G36" i="4"/>
  <c r="F36" i="4"/>
  <c r="E36" i="4"/>
  <c r="D36" i="4"/>
  <c r="G35" i="4"/>
  <c r="F35" i="4"/>
  <c r="E35" i="4"/>
  <c r="D35" i="4"/>
  <c r="G34" i="4"/>
  <c r="F34" i="4"/>
  <c r="E34" i="4"/>
  <c r="D34" i="4"/>
  <c r="G33" i="4"/>
  <c r="F33" i="4"/>
  <c r="E33" i="4"/>
  <c r="D33" i="4"/>
  <c r="G32" i="4"/>
  <c r="F32" i="4"/>
  <c r="E32" i="4"/>
  <c r="D32" i="4"/>
  <c r="G31" i="4"/>
  <c r="F31" i="4"/>
  <c r="E31" i="4"/>
  <c r="D31" i="4"/>
  <c r="G30" i="4"/>
  <c r="F30" i="4"/>
  <c r="E30" i="4"/>
  <c r="D30" i="4"/>
  <c r="G29" i="4"/>
  <c r="F29" i="4"/>
  <c r="E29" i="4"/>
  <c r="D29" i="4"/>
  <c r="G28" i="4"/>
  <c r="F28" i="4"/>
  <c r="E28" i="4"/>
  <c r="D28" i="4"/>
  <c r="G27" i="4"/>
  <c r="F27" i="4"/>
  <c r="E27" i="4"/>
  <c r="D27" i="4"/>
  <c r="G26" i="4"/>
  <c r="F26" i="4"/>
  <c r="E26" i="4"/>
  <c r="D26" i="4"/>
  <c r="G25" i="4"/>
  <c r="F25" i="4"/>
  <c r="E25" i="4"/>
  <c r="D25" i="4"/>
  <c r="G24" i="4"/>
  <c r="F24" i="4"/>
  <c r="E24" i="4"/>
  <c r="D24" i="4"/>
  <c r="G23" i="4"/>
  <c r="F23" i="4"/>
  <c r="E23" i="4"/>
  <c r="D23" i="4"/>
  <c r="G22" i="4"/>
  <c r="F22" i="4"/>
  <c r="E22" i="4"/>
  <c r="D22" i="4"/>
  <c r="G21" i="4"/>
  <c r="F21" i="4"/>
  <c r="E21" i="4"/>
  <c r="D21" i="4"/>
  <c r="G20" i="4"/>
  <c r="F20" i="4"/>
  <c r="E20" i="4"/>
  <c r="D20" i="4"/>
  <c r="G19" i="4"/>
  <c r="F19" i="4"/>
  <c r="E19" i="4"/>
  <c r="D19" i="4"/>
  <c r="G18" i="4"/>
  <c r="F18" i="4"/>
  <c r="E18" i="4"/>
  <c r="D18" i="4"/>
  <c r="G17" i="4"/>
  <c r="F17" i="4"/>
  <c r="E17" i="4"/>
  <c r="D17" i="4"/>
  <c r="G16" i="4"/>
  <c r="F16" i="4"/>
  <c r="E16" i="4"/>
  <c r="D16" i="4"/>
  <c r="G15" i="4"/>
  <c r="F15" i="4"/>
  <c r="E15" i="4"/>
  <c r="D15" i="4"/>
  <c r="G14" i="4"/>
  <c r="F14" i="4"/>
  <c r="E14" i="4"/>
  <c r="D14" i="4"/>
  <c r="G13" i="4"/>
  <c r="F13" i="4"/>
  <c r="E13" i="4"/>
  <c r="D13" i="4"/>
  <c r="G12" i="4"/>
  <c r="F12" i="4"/>
  <c r="E12" i="4"/>
  <c r="D12" i="4"/>
  <c r="G11" i="4"/>
  <c r="F11" i="4"/>
  <c r="E11" i="4"/>
  <c r="D11" i="4"/>
  <c r="G10" i="4"/>
  <c r="F10" i="4"/>
  <c r="E10" i="4"/>
  <c r="D10" i="4"/>
  <c r="G9" i="4"/>
  <c r="F9" i="4"/>
  <c r="E9" i="4"/>
  <c r="D9" i="4"/>
  <c r="G8" i="4"/>
  <c r="F8" i="4"/>
  <c r="E8" i="4"/>
  <c r="D8" i="4"/>
  <c r="H20" i="21" l="1"/>
  <c r="H7" i="21"/>
  <c r="H8" i="21"/>
  <c r="H10" i="21"/>
  <c r="H31" i="21"/>
  <c r="H27" i="21"/>
  <c r="H16" i="21"/>
  <c r="H9" i="21"/>
  <c r="H17" i="21"/>
  <c r="H18" i="21"/>
  <c r="H12" i="21"/>
  <c r="H15" i="21"/>
  <c r="H22" i="21"/>
  <c r="H13" i="21"/>
  <c r="H6" i="21"/>
  <c r="H25" i="21"/>
  <c r="H29" i="21"/>
  <c r="H19" i="21"/>
  <c r="H24" i="21"/>
  <c r="H30" i="21"/>
  <c r="H14" i="21"/>
  <c r="H23" i="21"/>
  <c r="H26" i="21"/>
  <c r="H28" i="21"/>
  <c r="H11" i="21"/>
  <c r="H32" i="21"/>
  <c r="H21" i="21"/>
  <c r="G2" i="4" l="1"/>
  <c r="G3" i="4"/>
  <c r="G4" i="4"/>
  <c r="G5" i="4"/>
  <c r="G6" i="4"/>
  <c r="G7" i="4"/>
  <c r="F2" i="4"/>
  <c r="F3" i="4"/>
  <c r="F4" i="4"/>
  <c r="F5" i="4"/>
  <c r="F6" i="4"/>
  <c r="F7" i="4"/>
  <c r="E2" i="4"/>
  <c r="E3" i="4"/>
  <c r="E4" i="4"/>
  <c r="E5" i="4"/>
  <c r="E6" i="4"/>
  <c r="E7" i="4"/>
  <c r="D2" i="4"/>
  <c r="D3" i="4"/>
  <c r="D4" i="4"/>
  <c r="D5" i="4"/>
  <c r="D6" i="4"/>
  <c r="D7" i="4"/>
  <c r="G1" i="20" l="1"/>
  <c r="G31" i="20" s="1"/>
  <c r="G27" i="20" l="1"/>
  <c r="G30" i="20"/>
  <c r="G29" i="20"/>
  <c r="G20" i="20"/>
  <c r="G21" i="20"/>
  <c r="G5" i="20"/>
  <c r="G28" i="20"/>
  <c r="G25" i="20"/>
  <c r="G17" i="20"/>
  <c r="E31" i="19"/>
  <c r="G10" i="20" l="1"/>
  <c r="G22" i="20"/>
  <c r="G12" i="20"/>
  <c r="G4" i="20"/>
  <c r="G15" i="20"/>
  <c r="G13" i="20"/>
  <c r="G8" i="20"/>
  <c r="G26" i="20"/>
  <c r="G19" i="20"/>
  <c r="G7" i="20"/>
  <c r="G24" i="20"/>
  <c r="G18" i="20"/>
  <c r="G9" i="20"/>
  <c r="G11" i="20"/>
  <c r="G23" i="20"/>
  <c r="G16" i="20"/>
  <c r="G14" i="20"/>
  <c r="G6" i="20"/>
  <c r="D1" i="20" l="1"/>
  <c r="E1" i="20"/>
  <c r="F1" i="20"/>
  <c r="H1" i="20"/>
  <c r="I1" i="20"/>
  <c r="J1" i="20"/>
  <c r="K1" i="20"/>
  <c r="L1" i="20"/>
  <c r="M1" i="20"/>
  <c r="N1" i="20"/>
  <c r="O1" i="20"/>
  <c r="P1" i="20"/>
  <c r="Q1" i="20"/>
  <c r="C1" i="20"/>
  <c r="E73" i="19"/>
  <c r="E53" i="19"/>
  <c r="E16" i="19"/>
  <c r="E3" i="19"/>
  <c r="H31" i="20" l="1"/>
  <c r="H30" i="20"/>
  <c r="E31" i="20"/>
  <c r="E30" i="20"/>
  <c r="D31" i="20"/>
  <c r="D30" i="20"/>
  <c r="P29" i="20"/>
  <c r="P31" i="20"/>
  <c r="P30" i="20"/>
  <c r="F31" i="20"/>
  <c r="F30" i="20"/>
  <c r="O31" i="20"/>
  <c r="O30" i="20"/>
  <c r="N31" i="20"/>
  <c r="N30" i="20"/>
  <c r="M31" i="20"/>
  <c r="M30" i="20"/>
  <c r="L31" i="20"/>
  <c r="L30" i="20"/>
  <c r="C31" i="20"/>
  <c r="C30" i="20"/>
  <c r="K31" i="20"/>
  <c r="K30" i="20"/>
  <c r="J29" i="20"/>
  <c r="J31" i="20"/>
  <c r="J30" i="20"/>
  <c r="Q31" i="20"/>
  <c r="Q30" i="20"/>
  <c r="I31" i="20"/>
  <c r="I30" i="20"/>
  <c r="M4" i="20"/>
  <c r="M29" i="20"/>
  <c r="L6" i="20"/>
  <c r="L29" i="20"/>
  <c r="O4" i="20"/>
  <c r="O29" i="20"/>
  <c r="K6" i="20"/>
  <c r="K29" i="20"/>
  <c r="N4" i="20"/>
  <c r="N29" i="20"/>
  <c r="E6" i="20"/>
  <c r="E29" i="20"/>
  <c r="I4" i="20"/>
  <c r="I29" i="20"/>
  <c r="H6" i="20"/>
  <c r="H29" i="20"/>
  <c r="F6" i="20"/>
  <c r="F29" i="20"/>
  <c r="C4" i="20"/>
  <c r="C29" i="20"/>
  <c r="Q6" i="20"/>
  <c r="Q29" i="20"/>
  <c r="D6" i="20"/>
  <c r="D29" i="20"/>
  <c r="F4" i="20"/>
  <c r="N25" i="20"/>
  <c r="N28" i="20"/>
  <c r="N12" i="20"/>
  <c r="N20" i="20"/>
  <c r="N26" i="20"/>
  <c r="N5" i="20"/>
  <c r="N14" i="20"/>
  <c r="N21" i="20"/>
  <c r="N27" i="20"/>
  <c r="N15" i="20"/>
  <c r="N22" i="20"/>
  <c r="N16" i="20"/>
  <c r="N23" i="20"/>
  <c r="N17" i="20"/>
  <c r="N24" i="20"/>
  <c r="M17" i="20"/>
  <c r="M12" i="20"/>
  <c r="M20" i="20"/>
  <c r="M26" i="20"/>
  <c r="M14" i="20"/>
  <c r="M21" i="20"/>
  <c r="M27" i="20"/>
  <c r="M15" i="20"/>
  <c r="M22" i="20"/>
  <c r="M28" i="20"/>
  <c r="M5" i="20"/>
  <c r="M16" i="20"/>
  <c r="M23" i="20"/>
  <c r="M24" i="20"/>
  <c r="M25" i="20"/>
  <c r="H4" i="20"/>
  <c r="L12" i="20"/>
  <c r="L20" i="20"/>
  <c r="L26" i="20"/>
  <c r="L14" i="20"/>
  <c r="L21" i="20"/>
  <c r="L27" i="20"/>
  <c r="L15" i="20"/>
  <c r="L22" i="20"/>
  <c r="L28" i="20"/>
  <c r="L16" i="20"/>
  <c r="L23" i="20"/>
  <c r="L5" i="20"/>
  <c r="L17" i="20"/>
  <c r="L24" i="20"/>
  <c r="L25" i="20"/>
  <c r="M6" i="20"/>
  <c r="P17" i="20"/>
  <c r="P24" i="20"/>
  <c r="P25" i="20"/>
  <c r="P12" i="20"/>
  <c r="P20" i="20"/>
  <c r="P26" i="20"/>
  <c r="P14" i="20"/>
  <c r="P21" i="20"/>
  <c r="P27" i="20"/>
  <c r="P15" i="20"/>
  <c r="P22" i="20"/>
  <c r="P28" i="20"/>
  <c r="P16" i="20"/>
  <c r="P23" i="20"/>
  <c r="P5" i="20"/>
  <c r="K14" i="20"/>
  <c r="K21" i="20"/>
  <c r="K27" i="20"/>
  <c r="K15" i="20"/>
  <c r="K22" i="20"/>
  <c r="K28" i="20"/>
  <c r="K16" i="20"/>
  <c r="K23" i="20"/>
  <c r="K5" i="20"/>
  <c r="K17" i="20"/>
  <c r="K24" i="20"/>
  <c r="K25" i="20"/>
  <c r="K12" i="20"/>
  <c r="K20" i="20"/>
  <c r="K26" i="20"/>
  <c r="O25" i="20"/>
  <c r="O23" i="20"/>
  <c r="O16" i="20"/>
  <c r="O12" i="20"/>
  <c r="O20" i="20"/>
  <c r="O26" i="20"/>
  <c r="O28" i="20"/>
  <c r="O14" i="20"/>
  <c r="O21" i="20"/>
  <c r="O27" i="20"/>
  <c r="O5" i="20"/>
  <c r="O15" i="20"/>
  <c r="O22" i="20"/>
  <c r="O17" i="20"/>
  <c r="O24" i="20"/>
  <c r="J14" i="20"/>
  <c r="J21" i="20"/>
  <c r="J27" i="20"/>
  <c r="J15" i="20"/>
  <c r="J22" i="20"/>
  <c r="J28" i="20"/>
  <c r="J16" i="20"/>
  <c r="J23" i="20"/>
  <c r="J5" i="20"/>
  <c r="J17" i="20"/>
  <c r="J24" i="20"/>
  <c r="J25" i="20"/>
  <c r="J12" i="20"/>
  <c r="J20" i="20"/>
  <c r="J26" i="20"/>
  <c r="P4" i="20"/>
  <c r="N6" i="20"/>
  <c r="I15" i="20"/>
  <c r="I22" i="20"/>
  <c r="I28" i="20"/>
  <c r="I16" i="20"/>
  <c r="I23" i="20"/>
  <c r="I5" i="20"/>
  <c r="I17" i="20"/>
  <c r="I24" i="20"/>
  <c r="I20" i="20"/>
  <c r="I26" i="20"/>
  <c r="I25" i="20"/>
  <c r="I12" i="20"/>
  <c r="I14" i="20"/>
  <c r="I21" i="20"/>
  <c r="I27" i="20"/>
  <c r="I6" i="20"/>
  <c r="J4" i="20"/>
  <c r="H15" i="20"/>
  <c r="H22" i="20"/>
  <c r="H28" i="20"/>
  <c r="H16" i="20"/>
  <c r="H23" i="20"/>
  <c r="H5" i="20"/>
  <c r="H17" i="20"/>
  <c r="H24" i="20"/>
  <c r="H25" i="20"/>
  <c r="H12" i="20"/>
  <c r="H20" i="20"/>
  <c r="H26" i="20"/>
  <c r="H14" i="20"/>
  <c r="H21" i="20"/>
  <c r="H27" i="20"/>
  <c r="P6" i="20"/>
  <c r="D4" i="20"/>
  <c r="O6" i="20"/>
  <c r="F27" i="20"/>
  <c r="F16" i="20"/>
  <c r="F23" i="20"/>
  <c r="F5" i="20"/>
  <c r="F14" i="20"/>
  <c r="F17" i="20"/>
  <c r="F24" i="20"/>
  <c r="F21" i="20"/>
  <c r="F25" i="20"/>
  <c r="F12" i="20"/>
  <c r="F20" i="20"/>
  <c r="F26" i="20"/>
  <c r="F15" i="20"/>
  <c r="F22" i="20"/>
  <c r="F28" i="20"/>
  <c r="Q4" i="20"/>
  <c r="K4" i="20"/>
  <c r="C17" i="20"/>
  <c r="C24" i="20"/>
  <c r="C25" i="20"/>
  <c r="C12" i="20"/>
  <c r="C20" i="20"/>
  <c r="C26" i="20"/>
  <c r="C14" i="20"/>
  <c r="C21" i="20"/>
  <c r="C27" i="20"/>
  <c r="C15" i="20"/>
  <c r="C22" i="20"/>
  <c r="C28" i="20"/>
  <c r="C16" i="20"/>
  <c r="C23" i="20"/>
  <c r="C5" i="20"/>
  <c r="E16" i="20"/>
  <c r="E23" i="20"/>
  <c r="E5" i="20"/>
  <c r="E17" i="20"/>
  <c r="E24" i="20"/>
  <c r="E25" i="20"/>
  <c r="E12" i="20"/>
  <c r="E20" i="20"/>
  <c r="E26" i="20"/>
  <c r="E14" i="20"/>
  <c r="E21" i="20"/>
  <c r="E27" i="20"/>
  <c r="E15" i="20"/>
  <c r="E22" i="20"/>
  <c r="E28" i="20"/>
  <c r="J6" i="20"/>
  <c r="L4" i="20"/>
  <c r="Q27" i="20"/>
  <c r="Q17" i="20"/>
  <c r="Q24" i="20"/>
  <c r="Q25" i="20"/>
  <c r="Q28" i="20"/>
  <c r="Q12" i="20"/>
  <c r="Q20" i="20"/>
  <c r="Q26" i="20"/>
  <c r="Q15" i="20"/>
  <c r="Q14" i="20"/>
  <c r="Q21" i="20"/>
  <c r="Q22" i="20"/>
  <c r="Q16" i="20"/>
  <c r="Q23" i="20"/>
  <c r="Q5" i="20"/>
  <c r="D17" i="20"/>
  <c r="D24" i="20"/>
  <c r="D27" i="20"/>
  <c r="D28" i="20"/>
  <c r="D25" i="20"/>
  <c r="D12" i="20"/>
  <c r="D20" i="20"/>
  <c r="D26" i="20"/>
  <c r="D14" i="20"/>
  <c r="D21" i="20"/>
  <c r="D15" i="20"/>
  <c r="D16" i="20"/>
  <c r="D23" i="20"/>
  <c r="D5" i="20"/>
  <c r="D22" i="20"/>
  <c r="E4" i="20"/>
  <c r="C6" i="20"/>
  <c r="N7" i="20"/>
  <c r="O7" i="20"/>
  <c r="C7" i="20"/>
  <c r="P7" i="20"/>
  <c r="D7" i="20"/>
  <c r="Q7" i="20"/>
  <c r="E7" i="20"/>
  <c r="F7" i="20"/>
  <c r="H7" i="20"/>
  <c r="I7" i="20"/>
  <c r="J7" i="20"/>
  <c r="K7" i="20"/>
  <c r="L7" i="20"/>
  <c r="M7" i="20"/>
  <c r="H9" i="20"/>
  <c r="I9" i="20"/>
  <c r="J9" i="20"/>
  <c r="K9" i="20"/>
  <c r="L9" i="20"/>
  <c r="M9" i="20"/>
  <c r="N9" i="20"/>
  <c r="O9" i="20"/>
  <c r="C9" i="20"/>
  <c r="P9" i="20"/>
  <c r="D9" i="20"/>
  <c r="Q9" i="20"/>
  <c r="E9" i="20"/>
  <c r="F9" i="20"/>
  <c r="D11" i="20"/>
  <c r="Q11" i="20"/>
  <c r="E11" i="20"/>
  <c r="F11" i="20"/>
  <c r="H11" i="20"/>
  <c r="C11" i="20"/>
  <c r="I11" i="20"/>
  <c r="J11" i="20"/>
  <c r="P11" i="20"/>
  <c r="K11" i="20"/>
  <c r="L11" i="20"/>
  <c r="M11" i="20"/>
  <c r="N11" i="20"/>
  <c r="O11" i="20"/>
  <c r="J8" i="20"/>
  <c r="K8" i="20"/>
  <c r="L8" i="20"/>
  <c r="M8" i="20"/>
  <c r="N8" i="20"/>
  <c r="O8" i="20"/>
  <c r="C8" i="20"/>
  <c r="P8" i="20"/>
  <c r="D8" i="20"/>
  <c r="Q8" i="20"/>
  <c r="E8" i="20"/>
  <c r="F8" i="20"/>
  <c r="H8" i="20"/>
  <c r="I8" i="20"/>
  <c r="M13" i="20"/>
  <c r="N13" i="20"/>
  <c r="O13" i="20"/>
  <c r="C13" i="20"/>
  <c r="P13" i="20"/>
  <c r="D13" i="20"/>
  <c r="Q13" i="20"/>
  <c r="E13" i="20"/>
  <c r="F13" i="20"/>
  <c r="L13" i="20"/>
  <c r="H13" i="20"/>
  <c r="I13" i="20"/>
  <c r="J13" i="20"/>
  <c r="K13" i="20"/>
  <c r="M19" i="20"/>
  <c r="N19" i="20"/>
  <c r="O19" i="20"/>
  <c r="C19" i="20"/>
  <c r="P19" i="20"/>
  <c r="D19" i="20"/>
  <c r="Q19" i="20"/>
  <c r="E19" i="20"/>
  <c r="F19" i="20"/>
  <c r="L19" i="20"/>
  <c r="H19" i="20"/>
  <c r="I19" i="20"/>
  <c r="J19" i="20"/>
  <c r="K19" i="20"/>
  <c r="O18" i="20"/>
  <c r="C18" i="20"/>
  <c r="P18" i="20"/>
  <c r="D18" i="20"/>
  <c r="Q18" i="20"/>
  <c r="E18" i="20"/>
  <c r="F18" i="20"/>
  <c r="H18" i="20"/>
  <c r="I18" i="20"/>
  <c r="J18" i="20"/>
  <c r="K18" i="20"/>
  <c r="N18" i="20"/>
  <c r="L18" i="20"/>
  <c r="M18" i="20"/>
  <c r="E10" i="20"/>
  <c r="F10" i="20"/>
  <c r="H10" i="20"/>
  <c r="I10" i="20"/>
  <c r="J10" i="20"/>
  <c r="K10" i="20"/>
  <c r="L10" i="20"/>
  <c r="M10" i="20"/>
  <c r="N10" i="20"/>
  <c r="O10" i="20"/>
  <c r="C10" i="20"/>
  <c r="P10" i="20"/>
  <c r="D10" i="20"/>
  <c r="Q10" i="20"/>
  <c r="H5"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Enez McCondochie</author>
  </authors>
  <commentList>
    <comment ref="C3" authorId="0" shapeId="0" xr:uid="{07507E5C-37D7-428B-95AB-D6D5CAAD00B8}">
      <text>
        <r>
          <rPr>
            <b/>
            <sz val="9"/>
            <color indexed="81"/>
            <rFont val="Tahoma"/>
            <family val="2"/>
          </rPr>
          <t>Enez McCondochie:</t>
        </r>
        <r>
          <rPr>
            <sz val="9"/>
            <color indexed="81"/>
            <rFont val="Tahoma"/>
            <family val="2"/>
          </rPr>
          <t xml:space="preserve">
[</t>
        </r>
        <r>
          <rPr>
            <u/>
            <sz val="9"/>
            <color indexed="81"/>
            <rFont val="Tahoma"/>
            <family val="2"/>
          </rPr>
          <t>Data Integration</t>
        </r>
        <r>
          <rPr>
            <sz val="9"/>
            <color indexed="81"/>
            <rFont val="Tahoma"/>
            <family val="2"/>
          </rPr>
          <t>]: 
The capability to access, and apply data quality rules to, a wide range of data sources. These include internal and external data, on-premises and cloud data, and structured and unstructured data sources</t>
        </r>
      </text>
    </comment>
    <comment ref="D3" authorId="0" shapeId="0" xr:uid="{14BD5FEA-267D-4F54-B59B-C957A1673C53}">
      <text>
        <r>
          <rPr>
            <b/>
            <sz val="9"/>
            <color indexed="81"/>
            <rFont val="Tahoma"/>
            <family val="2"/>
          </rPr>
          <t>Enez McCondochie:</t>
        </r>
        <r>
          <rPr>
            <sz val="9"/>
            <color indexed="81"/>
            <rFont val="Tahoma"/>
            <family val="2"/>
          </rPr>
          <t xml:space="preserve">
[</t>
        </r>
        <r>
          <rPr>
            <u/>
            <sz val="9"/>
            <color indexed="81"/>
            <rFont val="Tahoma"/>
            <family val="2"/>
          </rPr>
          <t>Data Integration</t>
        </r>
        <r>
          <rPr>
            <sz val="9"/>
            <color indexed="81"/>
            <rFont val="Tahoma"/>
            <family val="2"/>
          </rPr>
          <t>]
Built-in capabilities for decomposing data into its component parts.</t>
        </r>
      </text>
    </comment>
    <comment ref="E3" authorId="0" shapeId="0" xr:uid="{BF9C50F3-607A-4DEA-89E3-16355C9907F6}">
      <text>
        <r>
          <rPr>
            <b/>
            <sz val="9"/>
            <color indexed="81"/>
            <rFont val="Tahoma"/>
            <family val="2"/>
          </rPr>
          <t>Enez McCondochie:</t>
        </r>
        <r>
          <rPr>
            <sz val="9"/>
            <color indexed="81"/>
            <rFont val="Tahoma"/>
            <family val="2"/>
          </rPr>
          <t xml:space="preserve">
[</t>
        </r>
        <r>
          <rPr>
            <u/>
            <sz val="9"/>
            <color indexed="81"/>
            <rFont val="Tahoma"/>
            <family val="2"/>
          </rPr>
          <t>Data Integration</t>
        </r>
        <r>
          <rPr>
            <sz val="9"/>
            <color indexed="81"/>
            <rFont val="Tahoma"/>
            <family val="2"/>
          </rPr>
          <t>]
The process flow and user interface that enables business users to identify, quarantine, assign, escalate and resolve data quality issues.</t>
        </r>
      </text>
    </comment>
    <comment ref="F3" authorId="0" shapeId="0" xr:uid="{5639EC24-E676-428E-8901-505B9E06E802}">
      <text>
        <r>
          <rPr>
            <b/>
            <sz val="9"/>
            <color indexed="81"/>
            <rFont val="Tahoma"/>
            <family val="2"/>
          </rPr>
          <t>Enez McCondochie:</t>
        </r>
        <r>
          <rPr>
            <sz val="9"/>
            <color indexed="81"/>
            <rFont val="Tahoma"/>
            <family val="2"/>
          </rPr>
          <t xml:space="preserve">
[</t>
        </r>
        <r>
          <rPr>
            <u/>
            <sz val="9"/>
            <color indexed="81"/>
            <rFont val="Tahoma"/>
            <family val="2"/>
          </rPr>
          <t>Data Integration</t>
        </r>
        <r>
          <rPr>
            <sz val="9"/>
            <color indexed="81"/>
            <rFont val="Tahoma"/>
            <family val="2"/>
          </rPr>
          <t>]
Commonality, consistency and interoperability among the various components of the data quality toolset and third-party tools.</t>
        </r>
      </text>
    </comment>
    <comment ref="G3" authorId="0" shapeId="0" xr:uid="{BA5D36B2-80DD-41E9-B80D-8257BEEE92AF}">
      <text>
        <r>
          <rPr>
            <b/>
            <sz val="9"/>
            <color indexed="81"/>
            <rFont val="Tahoma"/>
            <family val="2"/>
          </rPr>
          <t>Enez McCondochie:</t>
        </r>
        <r>
          <rPr>
            <sz val="9"/>
            <color indexed="81"/>
            <rFont val="Tahoma"/>
            <family val="2"/>
          </rPr>
          <t xml:space="preserve">
Master data management (MDM) is the process of creating one single master reference source for all critical business data, leading to fewer errors and less redundancy in business processes. </t>
        </r>
      </text>
    </comment>
    <comment ref="H3" authorId="0" shapeId="0" xr:uid="{3B3C12B9-65F0-46FA-836E-BC42D8B49AE9}">
      <text>
        <r>
          <rPr>
            <b/>
            <sz val="9"/>
            <color indexed="81"/>
            <rFont val="Tahoma"/>
            <family val="2"/>
          </rPr>
          <t>Enez McCondochie:</t>
        </r>
        <r>
          <rPr>
            <sz val="9"/>
            <color indexed="81"/>
            <rFont val="Tahoma"/>
            <family val="2"/>
          </rPr>
          <t xml:space="preserve">
[</t>
        </r>
        <r>
          <rPr>
            <u/>
            <sz val="9"/>
            <color indexed="81"/>
            <rFont val="Tahoma"/>
            <family val="2"/>
          </rPr>
          <t>Data Cleaning</t>
        </r>
        <r>
          <rPr>
            <sz val="9"/>
            <color indexed="81"/>
            <rFont val="Tahoma"/>
            <family val="2"/>
          </rPr>
          <t>]
Built-in capabilities for applying standards, business rules or knowledge bases to modify data for specific formats, values and layouts.</t>
        </r>
      </text>
    </comment>
    <comment ref="I3" authorId="0" shapeId="0" xr:uid="{32F1126B-DA58-49E5-9E82-46036BFE57BE}">
      <text>
        <r>
          <rPr>
            <b/>
            <sz val="9"/>
            <color indexed="81"/>
            <rFont val="Tahoma"/>
            <family val="2"/>
          </rPr>
          <t>Enez McCondochie:</t>
        </r>
        <r>
          <rPr>
            <sz val="9"/>
            <color indexed="81"/>
            <rFont val="Tahoma"/>
            <family val="2"/>
          </rPr>
          <t xml:space="preserve">
[</t>
        </r>
        <r>
          <rPr>
            <u/>
            <sz val="9"/>
            <color indexed="81"/>
            <rFont val="Tahoma"/>
            <family val="2"/>
          </rPr>
          <t>Data Cleaning</t>
        </r>
        <r>
          <rPr>
            <sz val="9"/>
            <color indexed="81"/>
            <rFont val="Tahoma"/>
            <family val="2"/>
          </rPr>
          <t>]
Built-in capabilities for matching, linking and merging related data entries within or across datasets, using a variety of techniques, such as rules, algorithms, metadata and machine learning.</t>
        </r>
      </text>
    </comment>
    <comment ref="J3" authorId="0" shapeId="0" xr:uid="{8B5A1DE6-3616-49F8-8A11-EA2E5B22F5F2}">
      <text>
        <r>
          <rPr>
            <b/>
            <sz val="9"/>
            <color indexed="81"/>
            <rFont val="Tahoma"/>
            <family val="2"/>
          </rPr>
          <t>Enez McCondochie:</t>
        </r>
        <r>
          <rPr>
            <sz val="9"/>
            <color indexed="81"/>
            <rFont val="Tahoma"/>
            <family val="2"/>
          </rPr>
          <t xml:space="preserve">
[</t>
        </r>
        <r>
          <rPr>
            <u/>
            <sz val="9"/>
            <color indexed="81"/>
            <rFont val="Tahoma"/>
            <family val="2"/>
          </rPr>
          <t>Data Cleaning</t>
        </r>
        <r>
          <rPr>
            <sz val="9"/>
            <color indexed="81"/>
            <rFont val="Tahoma"/>
            <family val="2"/>
          </rPr>
          <t>]
Support for location-related data standardization and cleansing.</t>
        </r>
      </text>
    </comment>
    <comment ref="K3" authorId="0" shapeId="0" xr:uid="{71A5F0D8-B332-4C13-A3C0-785F850BE981}">
      <text>
        <r>
          <rPr>
            <b/>
            <sz val="9"/>
            <color indexed="81"/>
            <rFont val="Tahoma"/>
            <family val="2"/>
          </rPr>
          <t>Enez McCondochie:</t>
        </r>
        <r>
          <rPr>
            <sz val="9"/>
            <color indexed="81"/>
            <rFont val="Tahoma"/>
            <family val="2"/>
          </rPr>
          <t xml:space="preserve">
[</t>
        </r>
        <r>
          <rPr>
            <u/>
            <sz val="9"/>
            <color indexed="81"/>
            <rFont val="Tahoma"/>
            <family val="2"/>
          </rPr>
          <t>Data Cleaning</t>
        </r>
        <r>
          <rPr>
            <sz val="9"/>
            <color indexed="81"/>
            <rFont val="Tahoma"/>
            <family val="2"/>
          </rPr>
          <t>]
The capability to integrate externally sourced data to improve completeness and add value.</t>
        </r>
      </text>
    </comment>
    <comment ref="L3" authorId="0" shapeId="0" xr:uid="{8BA698F9-2946-4E00-8EFD-B0F7B38F4A8A}">
      <text>
        <r>
          <rPr>
            <b/>
            <sz val="9"/>
            <color indexed="81"/>
            <rFont val="Tahoma"/>
            <family val="2"/>
          </rPr>
          <t>Enez McCondochie:</t>
        </r>
        <r>
          <rPr>
            <sz val="9"/>
            <color indexed="81"/>
            <rFont val="Tahoma"/>
            <family val="2"/>
          </rPr>
          <t xml:space="preserve">
[</t>
        </r>
        <r>
          <rPr>
            <u/>
            <sz val="9"/>
            <color indexed="81"/>
            <rFont val="Tahoma"/>
            <family val="2"/>
          </rPr>
          <t>Data Profiling</t>
        </r>
        <r>
          <rPr>
            <sz val="9"/>
            <color indexed="81"/>
            <rFont val="Tahoma"/>
            <family val="2"/>
          </rPr>
          <t>]
Data analysis capabilities that give business insight into the quality of data, and that help them identify and understand data quality issues.</t>
        </r>
      </text>
    </comment>
    <comment ref="M3" authorId="0" shapeId="0" xr:uid="{5F7664D9-00FF-4016-8F7B-0DFD3C88EE19}">
      <text>
        <r>
          <rPr>
            <b/>
            <sz val="9"/>
            <color indexed="81"/>
            <rFont val="Tahoma"/>
            <family val="2"/>
          </rPr>
          <t>Enez McCondochie:</t>
        </r>
        <r>
          <rPr>
            <sz val="9"/>
            <color indexed="81"/>
            <rFont val="Tahoma"/>
            <family val="2"/>
          </rPr>
          <t xml:space="preserve">
[</t>
        </r>
        <r>
          <rPr>
            <u/>
            <sz val="9"/>
            <color indexed="81"/>
            <rFont val="Tahoma"/>
            <family val="2"/>
          </rPr>
          <t>Data Monitoring</t>
        </r>
        <r>
          <rPr>
            <sz val="9"/>
            <color indexed="81"/>
            <rFont val="Tahoma"/>
            <family val="2"/>
          </rPr>
          <t>]
Capabilities to assist with the ongoing understanding and assurance of data quality by monitoring of, and alerting to, possible data quality issues.</t>
        </r>
      </text>
    </comment>
    <comment ref="N3" authorId="0" shapeId="0" xr:uid="{AA9CDF9D-7444-4DE5-942D-914C231F2953}">
      <text>
        <r>
          <rPr>
            <b/>
            <sz val="9"/>
            <color indexed="81"/>
            <rFont val="Tahoma"/>
            <family val="2"/>
          </rPr>
          <t>Enez McCondochie:</t>
        </r>
        <r>
          <rPr>
            <sz val="9"/>
            <color indexed="81"/>
            <rFont val="Tahoma"/>
            <family val="2"/>
          </rPr>
          <t xml:space="preserve">
[Data Use]
The capability to capture, reconcile and interoperate metadata relating to the data quality process.</t>
        </r>
      </text>
    </comment>
    <comment ref="O3" authorId="0" shapeId="0" xr:uid="{BE5DB5D9-2C50-42E9-8CA7-33FCFF448478}">
      <text>
        <r>
          <rPr>
            <b/>
            <sz val="9"/>
            <color indexed="81"/>
            <rFont val="Tahoma"/>
            <family val="2"/>
          </rPr>
          <t>Enez McCondochie:</t>
        </r>
        <r>
          <rPr>
            <sz val="9"/>
            <color indexed="81"/>
            <rFont val="Tahoma"/>
            <family val="2"/>
          </rPr>
          <t xml:space="preserve">
[</t>
        </r>
        <r>
          <rPr>
            <u/>
            <sz val="9"/>
            <color indexed="81"/>
            <rFont val="Tahoma"/>
            <family val="2"/>
          </rPr>
          <t>Data Use</t>
        </r>
        <r>
          <rPr>
            <sz val="9"/>
            <color indexed="81"/>
            <rFont val="Tahoma"/>
            <family val="2"/>
          </rPr>
          <t>]
Suitability of the tools to engage and support the various roles (especially business roles) required by a data quality initiative.</t>
        </r>
      </text>
    </comment>
    <comment ref="P3" authorId="0" shapeId="0" xr:uid="{A5FFF9CD-C1EF-4740-8CA0-A7BC79A942E1}">
      <text>
        <r>
          <rPr>
            <b/>
            <sz val="9"/>
            <color indexed="81"/>
            <rFont val="Tahoma"/>
            <family val="2"/>
          </rPr>
          <t>Enez McCondochie:</t>
        </r>
        <r>
          <rPr>
            <sz val="9"/>
            <color indexed="81"/>
            <rFont val="Tahoma"/>
            <family val="2"/>
          </rPr>
          <t xml:space="preserve">
[</t>
        </r>
        <r>
          <rPr>
            <u/>
            <sz val="9"/>
            <color indexed="81"/>
            <rFont val="Tahoma"/>
            <family val="2"/>
          </rPr>
          <t>Data Use</t>
        </r>
        <r>
          <rPr>
            <sz val="9"/>
            <color indexed="81"/>
            <rFont val="Tahoma"/>
            <family val="2"/>
          </rPr>
          <t>]
Capabilities that facilitate configuration of data quality operations.</t>
        </r>
      </text>
    </comment>
    <comment ref="Q3" authorId="0" shapeId="0" xr:uid="{1A8333EE-50A0-4309-ADED-A6587555E33C}">
      <text>
        <r>
          <rPr>
            <b/>
            <sz val="9"/>
            <color indexed="81"/>
            <rFont val="Tahoma"/>
            <family val="2"/>
          </rPr>
          <t>Enez McCondochie:</t>
        </r>
        <r>
          <rPr>
            <sz val="9"/>
            <color indexed="81"/>
            <rFont val="Tahoma"/>
            <family val="2"/>
          </rPr>
          <t xml:space="preserve">
[</t>
        </r>
        <r>
          <rPr>
            <u/>
            <sz val="9"/>
            <color indexed="81"/>
            <rFont val="Tahoma"/>
            <family val="2"/>
          </rPr>
          <t>Data Use</t>
        </r>
        <r>
          <rPr>
            <sz val="9"/>
            <color indexed="81"/>
            <rFont val="Tahoma"/>
            <family val="2"/>
          </rPr>
          <t>]
Styles of deployment and hardware and operating system options for deploying data quality operations.</t>
        </r>
      </text>
    </comment>
  </commentList>
</comments>
</file>

<file path=xl/sharedStrings.xml><?xml version="1.0" encoding="utf-8"?>
<sst xmlns="http://schemas.openxmlformats.org/spreadsheetml/2006/main" count="1836" uniqueCount="511">
  <si>
    <t>CODE</t>
  </si>
  <si>
    <t>DP</t>
  </si>
  <si>
    <t>DP-RD</t>
  </si>
  <si>
    <t>DP-CD</t>
  </si>
  <si>
    <t>DP-SD</t>
  </si>
  <si>
    <t>DI</t>
  </si>
  <si>
    <t>DI-DC</t>
  </si>
  <si>
    <t>DI-DP</t>
  </si>
  <si>
    <t>DI-DV</t>
  </si>
  <si>
    <t>DI-DF</t>
  </si>
  <si>
    <t>DC</t>
  </si>
  <si>
    <t>DC-PS</t>
  </si>
  <si>
    <t>DC-IR</t>
  </si>
  <si>
    <t>TITLE</t>
  </si>
  <si>
    <t>DESCRIPTION</t>
  </si>
  <si>
    <t>Data Profiling</t>
  </si>
  <si>
    <t>Cross Table Redundancy Analysis</t>
  </si>
  <si>
    <t>DP-RD-1</t>
  </si>
  <si>
    <t>DP-RD-2</t>
  </si>
  <si>
    <t>DP-RD-3</t>
  </si>
  <si>
    <t>Identifying distributions, key candidates, foreign-key candidates, functional dependencies, embedded value dependencies, and performing inter-table analysis.</t>
  </si>
  <si>
    <t>DP-CD-1</t>
  </si>
  <si>
    <t>DP-CD-2</t>
  </si>
  <si>
    <t>DP-CD-3</t>
  </si>
  <si>
    <t>Data Pattern Discovery</t>
  </si>
  <si>
    <t>Domain Analysis</t>
  </si>
  <si>
    <t>Discovering metadata and assessing its accuracy</t>
  </si>
  <si>
    <t>DP-SD-1</t>
  </si>
  <si>
    <t>DP-SD-2</t>
  </si>
  <si>
    <t>DP-SD-3</t>
  </si>
  <si>
    <t>Column Value Frequency Analysis &amp; Statistics, collecting descriptive statistics like min, max, count and sum.</t>
  </si>
  <si>
    <t>Table Structure Analysis, Collecting data types, length and recurring patterns.</t>
  </si>
  <si>
    <t>Drill-through Analysis</t>
  </si>
  <si>
    <t>DI-DC-2</t>
  </si>
  <si>
    <t>DI-DC-3</t>
  </si>
  <si>
    <t>Connectivity</t>
  </si>
  <si>
    <t>Data Modelling</t>
  </si>
  <si>
    <t>Enterprise data replication (EDR), transfer large amounts of data between databases</t>
  </si>
  <si>
    <t>Data Access</t>
  </si>
  <si>
    <t>Enterprise information integration (EII)</t>
  </si>
  <si>
    <t>Tagging data with keywords, descriptions or categories</t>
  </si>
  <si>
    <t>Data Scrubbing/Cleansing/Handling blank values/Reformatting values/Threshold checking</t>
  </si>
  <si>
    <t>Data Enhancement/Enrichment/Curation</t>
  </si>
  <si>
    <t>NLP</t>
  </si>
  <si>
    <t>Address validation/geocoding</t>
  </si>
  <si>
    <t>Master Data Management</t>
  </si>
  <si>
    <t>Data Deduping</t>
  </si>
  <si>
    <t>DI-DP-1</t>
  </si>
  <si>
    <t>DI-DP-2</t>
  </si>
  <si>
    <t>Data Integration</t>
  </si>
  <si>
    <t>Structure discovery</t>
  </si>
  <si>
    <t>Content discovery</t>
  </si>
  <si>
    <t>Data Consolidation</t>
  </si>
  <si>
    <t>Data Propagation</t>
  </si>
  <si>
    <t>DI-DV-1</t>
  </si>
  <si>
    <t>Data Virtualization</t>
  </si>
  <si>
    <t>DI-DF-1</t>
  </si>
  <si>
    <t>Data Federation</t>
  </si>
  <si>
    <t>DC-PS-1</t>
  </si>
  <si>
    <t>DC-PS-2</t>
  </si>
  <si>
    <t>DC-PS-3</t>
  </si>
  <si>
    <t>DC-PS-4</t>
  </si>
  <si>
    <t>DC-PS-5</t>
  </si>
  <si>
    <t>DC-PS-6</t>
  </si>
  <si>
    <t>Data Cleaning</t>
  </si>
  <si>
    <t>Parsing and Standardization</t>
  </si>
  <si>
    <t>Identity Resolution, Linkage, Merging and Consolidation of Duplicate Records</t>
  </si>
  <si>
    <t>DC-IR-1</t>
  </si>
  <si>
    <t>DC-IR-2</t>
  </si>
  <si>
    <t>Data aggregation</t>
  </si>
  <si>
    <t>Data masking</t>
  </si>
  <si>
    <t>DC-IR-3</t>
  </si>
  <si>
    <t>DC-IR-4</t>
  </si>
  <si>
    <t>DC-IR-5</t>
  </si>
  <si>
    <t>DC-IR-6</t>
  </si>
  <si>
    <t>Data Binning</t>
  </si>
  <si>
    <t>Grouping similar data / Clustering</t>
  </si>
  <si>
    <t>Outlier detection and removal</t>
  </si>
  <si>
    <t>Machine Learning / Training a statistical model</t>
  </si>
  <si>
    <t>DC-PS-7</t>
  </si>
  <si>
    <t>Metadata Management</t>
  </si>
  <si>
    <t>Concept Identification and Naming</t>
  </si>
  <si>
    <t>Data Categorization</t>
  </si>
  <si>
    <t>Lineage</t>
  </si>
  <si>
    <t>Relationship with other metadata</t>
  </si>
  <si>
    <t>Comments and Remarks</t>
  </si>
  <si>
    <t>Data Stats (profiles)</t>
  </si>
  <si>
    <t>WhiteRabbit</t>
  </si>
  <si>
    <t>TOOL</t>
  </si>
  <si>
    <t>FEATURE CODE</t>
  </si>
  <si>
    <t>Sample Data / Generate Fake Data</t>
  </si>
  <si>
    <t>Talend Open Studio for Data Integration</t>
  </si>
  <si>
    <t>FEATURE</t>
  </si>
  <si>
    <r>
      <rPr>
        <sz val="7"/>
        <color theme="1"/>
        <rFont val="Times New Roman"/>
        <family val="1"/>
      </rPr>
      <t xml:space="preserve"> </t>
    </r>
    <r>
      <rPr>
        <sz val="11"/>
        <color theme="1"/>
        <rFont val="Calibri"/>
        <family val="2"/>
        <scheme val="minor"/>
      </rPr>
      <t>(ETL) Data Extraction, Transformation and Loading / ETL and ELT support</t>
    </r>
  </si>
  <si>
    <t>Data flow orchestration, Enterprise application integration (EAI), exchange of messages and transactions</t>
  </si>
  <si>
    <t>DI-DP-3</t>
  </si>
  <si>
    <t>Versioning and file management</t>
  </si>
  <si>
    <t xml:space="preserve">Connectivity to &lt; 3 data sources </t>
  </si>
  <si>
    <t xml:space="preserve">Connectivity to &lt; 6 data sources </t>
  </si>
  <si>
    <t xml:space="preserve">Connectivity to &gt; 5 data sources </t>
  </si>
  <si>
    <t>DI-DC-1A</t>
  </si>
  <si>
    <t>DI-DC-1B</t>
  </si>
  <si>
    <t>DI-DC-1C</t>
  </si>
  <si>
    <t>Discovering how parts of the data are interrelated. For example, key relationships between database tables, references between cells or tables in a spreadsheet. Understanding relationships is crucial to reusing data; related data sources should be united into one or imported in a way that preserves important relationships</t>
  </si>
  <si>
    <t>Looking into individual data records to discover errors. Content discovery identifies which specific rows in a table contain problems, and which systemic issues occur in the data (for example, phone numbers with no area code)</t>
  </si>
  <si>
    <t/>
  </si>
  <si>
    <t>ID</t>
  </si>
  <si>
    <t>Validating that data is consistent and formatted correctly and performing mathematical checks on the data (e.g. sum, minimum or maximum). Structure discovery helps understand how well data is structured—for example, what percentage of phone numbers do not have the correct number of digits</t>
  </si>
  <si>
    <t xml:space="preserve">The process of reviewing source data, understanding structure, content and interrelationships, and identifying potential for data projects. </t>
  </si>
  <si>
    <t>The process of combining data from several disparate sources and providing a unified view of the data.</t>
  </si>
  <si>
    <t>Data consolidation physically brings data together from several separate systems, creating a version of the consolidated data in one data store. Often the goal of data consolidation is to reduce the number of data storage locations.</t>
  </si>
  <si>
    <t>Data propagation is the use of applications to copy data from one location to another</t>
  </si>
  <si>
    <t>Provide a near real-time, unified view of data from disparate sources with different data models. Data can be viewed in one location but is not stored in that single location.</t>
  </si>
  <si>
    <t>Federation is technically a form of data virtualization. It uses a virtual database and creates a common data model for heterogeneous data from different systems. Data is brought together and viewable from a single point of access.</t>
  </si>
  <si>
    <t>After determining that a data value does not conform to end-user expectations data can be transformed into a form that meets the level of business user acceptability. Data cleansing builds on the parsing, standardization, and enhancement tools; identity resolution; and record linkage. By parsing the values and triggering based on known error patterns, data cleansing will apply rules to figure out the right data values, correct names or addresses, eliminate extra bits of information, reduce meaningless data, and even merge duplicates.</t>
  </si>
  <si>
    <t>Relationship discovery</t>
  </si>
  <si>
    <t>Data values are expected to conform to expected formats and structures, but slight variations in data values may confuse individuals or automated applications. Parsing is used to determine whether a value conforms to recognizable patterns. When patterns are recognized, other rules and actions can be triggered to transform the input data into a form that can be more effectively used, either to standardize the representation (presuming a valid representation) or to correct the values</t>
  </si>
  <si>
    <t>Identity resolution is used to recognize when only slight variations suggest that different records are connected and where values may be cleansed, or where enough differences between the data suggest that the two records represent distinct entities. Identity resolution provides the foundation for duplicate record analysis and elimination. Identifying similar records within the same data set means that the records may be subjected to cleansing, elimination, or both. Identifying similar records in different sets may indicate a link across the data sets, which helps facilitate merging of similar records for the purposes of data cleansing as well as supporting a master data management or customer data integration initiative. Automating the merging process will select the best data values and allow for the creation of a single “best copy”.</t>
  </si>
  <si>
    <t>#</t>
  </si>
  <si>
    <t>DM</t>
  </si>
  <si>
    <t>Data Monitoring</t>
  </si>
  <si>
    <t>Capabilities to assist with the ongoing understanding and assurance of data quality by monitoring of, and alerting to, possible data quality issues</t>
  </si>
  <si>
    <t>Data Use</t>
  </si>
  <si>
    <t>DU</t>
  </si>
  <si>
    <t>Data Anonymization</t>
  </si>
  <si>
    <t>Monitoring &amp; Alerting</t>
  </si>
  <si>
    <t>DM-MA</t>
  </si>
  <si>
    <t>DM-MA-1</t>
  </si>
  <si>
    <t>Flexible query language to leverage this dimensionality</t>
  </si>
  <si>
    <t>Time series data identified and collection by metric name and key/value pairs</t>
  </si>
  <si>
    <t>Graphing and dashboarding support</t>
  </si>
  <si>
    <t>DM-MA-2</t>
  </si>
  <si>
    <t>DM-MA-3</t>
  </si>
  <si>
    <t>https://github.com/OHDSI/WhiteRabbit</t>
  </si>
  <si>
    <t>Apache License 2.0</t>
  </si>
  <si>
    <t>0.9.0</t>
  </si>
  <si>
    <t>Windows, macOS, Linux</t>
  </si>
  <si>
    <t>Database analysis</t>
  </si>
  <si>
    <t>Data mining algorithms to extract information from various heterogeneous databases and anticipate evolving patterns</t>
  </si>
  <si>
    <t>DM-DB</t>
  </si>
  <si>
    <t>Data Availability</t>
  </si>
  <si>
    <t>DM-DA</t>
  </si>
  <si>
    <t>Data Visualization &amp; Exploration</t>
  </si>
  <si>
    <t>DM-DV</t>
  </si>
  <si>
    <t>Understand patterns, trends, and distributions with scatter plots, histograms, line charts, parallel coordinates, box plots, and find and fix common data quality problems including missing values and outliers</t>
  </si>
  <si>
    <t xml:space="preserve"> GNU [GPL-3.0]+ license</t>
  </si>
  <si>
    <t>3.24.1</t>
  </si>
  <si>
    <t>Identify incomplete, stale or missing data</t>
  </si>
  <si>
    <t>WEKA</t>
  </si>
  <si>
    <t>GNU General Public License version 3.0 (GPLv3)</t>
  </si>
  <si>
    <t>Anonimatron</t>
  </si>
  <si>
    <t>Java 1.8</t>
  </si>
  <si>
    <t>Links</t>
  </si>
  <si>
    <t>License</t>
  </si>
  <si>
    <t>Version</t>
  </si>
  <si>
    <t>Last Update</t>
  </si>
  <si>
    <t>OS</t>
  </si>
  <si>
    <t>System Requirements</t>
  </si>
  <si>
    <t>Name</t>
  </si>
  <si>
    <t>Description</t>
  </si>
  <si>
    <t>Features</t>
  </si>
  <si>
    <t>Identity Resolution, Linkage, Merging &amp; Consolidation</t>
  </si>
  <si>
    <t>Group</t>
  </si>
  <si>
    <t>ParentGroup</t>
  </si>
  <si>
    <t>Performing data quality assessment, risk of performing joins on the data</t>
  </si>
  <si>
    <t>Key</t>
  </si>
  <si>
    <t>ParentKey</t>
  </si>
  <si>
    <t>Orange</t>
  </si>
  <si>
    <t>RapidMiner</t>
  </si>
  <si>
    <t>Knime</t>
  </si>
  <si>
    <t>Data profiling, measurement and visualization</t>
  </si>
  <si>
    <t>Monitoring</t>
  </si>
  <si>
    <t>Parsing</t>
  </si>
  <si>
    <t>Standardization and cleansing</t>
  </si>
  <si>
    <t>Matching, linking and merging</t>
  </si>
  <si>
    <t>Data curation and enrichment</t>
  </si>
  <si>
    <t>Issue resolution and workflow</t>
  </si>
  <si>
    <t>Metadata management</t>
  </si>
  <si>
    <t>DevOps environment</t>
  </si>
  <si>
    <t>Deployment environment</t>
  </si>
  <si>
    <t>Architecture and integration</t>
  </si>
  <si>
    <t>Usability</t>
  </si>
  <si>
    <t>Address validation / geocoding</t>
  </si>
  <si>
    <t>OpenRefine</t>
  </si>
  <si>
    <t>DataCleaner</t>
  </si>
  <si>
    <t>Data Match</t>
  </si>
  <si>
    <t>DataMartist</t>
  </si>
  <si>
    <t>Pentaho Kettle</t>
  </si>
  <si>
    <t>SQL Power Architect</t>
  </si>
  <si>
    <t>SQL Power DQguru</t>
  </si>
  <si>
    <t>DQ Analyzer</t>
  </si>
  <si>
    <t>Aggregate Profiler (AP)</t>
  </si>
  <si>
    <t>CytoScape</t>
  </si>
  <si>
    <t>Windows, Ubuntu or macOS</t>
  </si>
  <si>
    <t>GNU LESSER GENERAL PUBLIC LICENSE Version 2.1, February 1999</t>
  </si>
  <si>
    <t>1.13.0</t>
  </si>
  <si>
    <t>4.1.2</t>
  </si>
  <si>
    <t>https://www.knime.com/</t>
  </si>
  <si>
    <t>Sophisticated graphics hardware is not needed, multi core systems a plus as KNIME makes use of multiple cores. The available hard drive space (NOT main memory) limits the amount of processable data - several tens GB free space are recommended. Main memory should be 1GB or above, on 32 bit systems up to 1.5GB can be used, more on 64 bit systems</t>
  </si>
  <si>
    <t>7.3.0</t>
  </si>
  <si>
    <t>DU-MM</t>
  </si>
  <si>
    <t>Metadata gives context, helping to organize and provide relevance to the data itself. Attributes like file location, file size, data type, and author are vital signposts that allow for faster querying and replication of insights.  Enabling a business user to search and identify the information on the key attributes in web-based user interface.  Business users can understand where the data for an attribute is coming from and how the data in the attribute was calculated. They can visualize which enterprise systems in the organization the attribute is being used in (Lineage) and understand the impact of changing something (Impact Analysis) related to the attribute such as the length of the attribute to other systems.</t>
  </si>
  <si>
    <t>Enables users to gain useful insights from the available data</t>
  </si>
  <si>
    <t>DU-MM-1</t>
  </si>
  <si>
    <t>DU-MM-2</t>
  </si>
  <si>
    <t>DU-MM-3</t>
  </si>
  <si>
    <t>DU-MM-4</t>
  </si>
  <si>
    <t>DU-MM-5</t>
  </si>
  <si>
    <t>DU-MM-6</t>
  </si>
  <si>
    <t>Privacy &amp; Security</t>
  </si>
  <si>
    <t>DU-PS</t>
  </si>
  <si>
    <t>DU-PS-1</t>
  </si>
  <si>
    <t>Role based access control</t>
  </si>
  <si>
    <t>DU-PS-2</t>
  </si>
  <si>
    <t>DU-PS-3</t>
  </si>
  <si>
    <t>Secure environment setup and deployment</t>
  </si>
  <si>
    <t>https://www.rapidminer.com_x000D_
_x000D_
https://github.com/rapidminer/rapidminer-studio_x000D_
_x000D_
https://academy.rapidminer.com/</t>
  </si>
  <si>
    <t>OpenJDK 8, 64-bit recommended _x000D_
Minimum:  Dual core, 2GHz processor, 4GB RAM, &gt;1GB free disk space, Resolution: 1280x1024_x000D_
Recommended: Quad core, 3GHz or faster processor, 16GB RAM, &gt;100GB free disk space</t>
  </si>
  <si>
    <t>1/19/2020</t>
  </si>
  <si>
    <t>3/5/2020</t>
  </si>
  <si>
    <t>https://realrolfje.github.io/anonimatron/_x000D_
_x000D_
https://github.com/realrolfje/anonimatron</t>
  </si>
  <si>
    <t>4/1/2020</t>
  </si>
  <si>
    <t>12/31/2019</t>
  </si>
  <si>
    <t xml:space="preserve"> (ETL) Data Extraction, Transformation and Loading / ETL and ELT support</t>
  </si>
  <si>
    <t>https://www.talend.com/products/data-integration/data-integration-open-studio_x000D_
_x000D_
https://www.talend.com/resources/what-is-data-integration/?type=productspage_x000D_
_x000D_
https://www.datamation.com/big-data/talend-open-studio-data-integration.html</t>
  </si>
  <si>
    <t>Talend Open Studio For Big Data</t>
  </si>
  <si>
    <t>Talend Open Studio For ESB</t>
  </si>
  <si>
    <t>Talend Open Studio For MDM</t>
  </si>
  <si>
    <t>Weight</t>
  </si>
  <si>
    <t>DU-DM</t>
  </si>
  <si>
    <t>Data Mining</t>
  </si>
  <si>
    <t>DU-DM-1</t>
  </si>
  <si>
    <t>Interactive Data Visualization</t>
  </si>
  <si>
    <t>DU-DM-2</t>
  </si>
  <si>
    <t>DU-DM-3</t>
  </si>
  <si>
    <t>Visual Illustrations and training documentation</t>
  </si>
  <si>
    <t>DU-DM-4</t>
  </si>
  <si>
    <t>Add-ons and Extension Functionality</t>
  </si>
  <si>
    <t>Visual Programming and analysis</t>
  </si>
  <si>
    <t>DU-DM-5</t>
  </si>
  <si>
    <t>DU-PS-4</t>
  </si>
  <si>
    <t>Container based deployment</t>
  </si>
  <si>
    <t>Category</t>
  </si>
  <si>
    <t>Process of discovering patterns in large data sets involving methods at the intersection of machine learning, statistics, and database system</t>
  </si>
  <si>
    <t>Parent</t>
  </si>
  <si>
    <t>Pandas Profiling</t>
  </si>
  <si>
    <t>GNU Lesser General Public License v3.0</t>
  </si>
  <si>
    <t>5.7.0</t>
  </si>
  <si>
    <t>4/1/2019</t>
  </si>
  <si>
    <t>Windows, Linux and Mac OS</t>
  </si>
  <si>
    <t>http://openrefine.org/_x000D_
https://github.com/OpenRefine/OpenRefine/wiki/Documentation-For-Developers_x000D_
https://casci.umd.edu/wp-content/uploads/2013/12/OpenRefine-tutorial-v1.5.pdf_x000D_
https://github.com/OpenRefine/OpenRefine/wiki/Installation-Instructions#requirements</t>
  </si>
  <si>
    <t>v3.3</t>
  </si>
  <si>
    <t>1/31/2020</t>
  </si>
  <si>
    <t>Java JRE/JDK installed (If you are running a 64 bit operating system, then it's recommended that you install 64 bit Java)</t>
  </si>
  <si>
    <t>3.8.4</t>
  </si>
  <si>
    <t>12/20/2019</t>
  </si>
  <si>
    <t>MIT License</t>
  </si>
  <si>
    <t xml:space="preserve">http://orange.biolab.si/_x000D_
https://orange.biolab.si/getting-started/_x000D_
https://orange-data-mining-library.readthedocs.io/en/latest/index.html_x000D_
https://www.javatpoint.com/orange-data-mining_x000D_
</t>
  </si>
  <si>
    <t>https://arx.deidentifier.org/_x000D_
https://arx.deidentifier.org/overview/_x000D_
https://arx.deidentifier.org/downloads/_x000D_
https://github.com/arx-deidentifier/arx_x000D_
https://github.com/arx-deidentifier/arx/tree/master/src/example/org/deidentifier/arx/examples_x000D_
https://www.ncbi.nlm.nih.gov/pmc/articles/PMC4419984/</t>
  </si>
  <si>
    <t>3.8.0</t>
  </si>
  <si>
    <t>11/17/2019</t>
  </si>
  <si>
    <t>Windows, Linux, Mac OS</t>
  </si>
  <si>
    <t>ARX uses external libraries. Their licenses are listed in the respective folders.</t>
  </si>
  <si>
    <t>ARX Data Anonymization</t>
  </si>
  <si>
    <t>https://github.com/cytoscape/cytoscape-tutorials/wiki_x000D_
_x000D_
https://cytoscape.org/download.html</t>
  </si>
  <si>
    <t>Pimcore</t>
  </si>
  <si>
    <t>Windows, Solaris, Linux</t>
  </si>
  <si>
    <t>JDK / JRE 1.7.0_07 or above</t>
  </si>
  <si>
    <t>It requires 3GB RAM (4 GB recommended) and 3 GB of storage space, as well as Java and database drivers._x000D_
Deployment: On-premises</t>
  </si>
  <si>
    <t>https://www.talend.com/products/big-data/big-data-open-studio/_x000D_
_x000D_
https://github.com/Talend/tbd-studio-se_x000D_
_x000D_
https://download-mirror2.talend.com/tosbd/user-guide-download/V731/TalendOpenStudio_BigData_GettingStarted_EN_7.3.1.pdf</t>
  </si>
  <si>
    <t>Apache v2 License</t>
  </si>
  <si>
    <t>7.3.1</t>
  </si>
  <si>
    <t>2/27/2020</t>
  </si>
  <si>
    <t>Windows 10, Ubuntu, MacOS</t>
  </si>
  <si>
    <t>3GB minimum, 4 GB recommended, 3 GB Disk Space, Oracle Java 8 or 11 JRE, or OpenJDK 1.8 or 11, A properly installed and configured Hadoop cluster, 7-Zip (optional)</t>
  </si>
  <si>
    <t>v2.5</t>
  </si>
  <si>
    <t>6/5/2018</t>
  </si>
  <si>
    <t>Windows, MacOS</t>
  </si>
  <si>
    <t>Processor 64-bit processor is required, Alllocated memory 1GB minimum, Disk space 500MB minimum + datasets = 5GB recommended</t>
  </si>
  <si>
    <t>Talend Open Studio For Data Quality</t>
  </si>
  <si>
    <t xml:space="preserve">https://www.talend.com/products/application-integration/esb-open-studio/_x000D_
https://www.talend.com/download/esb-open-studio/_x000D_
https://help.talend.com/reader/akzLCJX2jurKtvXycoNGyQ/0jR_lL3USb1L51fZ1wZ4ig_x000D_
https://help.talend.com/reader/KMuqp2HM0UOrRllqA9mIzA/4LrCsbi2Vo7lnxTWI2gDBw_x000D_
_x000D_
https://www.talend.com/products/application-integration/esb-manuals-release-notes/_x000D_
</t>
  </si>
  <si>
    <t>Apache license</t>
  </si>
  <si>
    <t>2/26/2020</t>
  </si>
  <si>
    <t>Windows, Linux, MacOS</t>
  </si>
  <si>
    <t>https://help.talend.com/reader/3tqeAEtb4sPbcKls967Srg/Zx8UE3tObCgrhTVRjxi3dQ_x000D_
Talend Studio Client	3GB – 4GB, Talend Runtime Server 2GB – 4GB_x000D_
Talend Studio Client	3GB+ recommended, Talend Runtime Server 400MB+ recommended_x000D_
Open JDK 11 recommended</t>
  </si>
  <si>
    <t>Anaconda</t>
  </si>
  <si>
    <t>GPLv3</t>
  </si>
  <si>
    <t>3.0</t>
  </si>
  <si>
    <t>Windows, Ubuntu, MacOS</t>
  </si>
  <si>
    <t>Apache V2</t>
  </si>
  <si>
    <t>Memory usage: 4 GB recommended, Disk space: 3GB_x000D_
Oracle Java 8 JRE or OpenJDK 1.8_x000D_
7-Zip</t>
  </si>
  <si>
    <t>https://sourceforge.net/projects/talend-mdm/files/Talend%20MDM%20Community%20Edition/_x000D_
https://help.talend.com/reader/_naRdaNqgnICsFhofGshTQ/pMnFXbKb9_D9cArV29E9FQ_x000D_
https://sourceforge.net/projects/talend-mdm/</t>
  </si>
  <si>
    <t>7.2.1</t>
  </si>
  <si>
    <t>5/29/2019</t>
  </si>
  <si>
    <t>Windows</t>
  </si>
  <si>
    <t>DataPreparator</t>
  </si>
  <si>
    <t>https://www.datapreparator.com/software-license-agreement-2.html</t>
  </si>
  <si>
    <t>1.7</t>
  </si>
  <si>
    <t>7/12/2014</t>
  </si>
  <si>
    <t>JRE 1.6 or later,  Memory: 1G or more, Disk Space: 20M</t>
  </si>
  <si>
    <t>Windows, MacOS, Linux</t>
  </si>
  <si>
    <t>https://www.datapreparator.com/downloads.html_x000D_
https://www.datapreparator.com/_x000D_
https://www.datapreparator.com/features.html_x000D_
https://www.softpedia.com/get/CD-DVD-Tools/Audio-CD-DVD-Burning/DataPreparator.shtml</t>
  </si>
  <si>
    <t xml:space="preserve">4 or more cores_x000D_
Intel Core i7_x000D_
16 or more GB of RAM_x000D_
SSD, or SCSI HDDs_x000D_
SSD (Free space requirements depends on the size of input data), 1 TB Disk Space, Microsoft Windows 7 SP1 and above, 64 bit (Current Generation) </t>
  </si>
  <si>
    <t>https://dataladder.com/products/_x000D_
http://dataladder.com/data-matching-software/_x000D_
https://sourceforge.net/software/product/DataMatch/_x000D_
https://youtu.be/QkM280dwES8_x000D_
https://dataladder.com/wp-content/uploads/2019/06/DataMatch-Enterprise-Datasheet.pdf</t>
  </si>
  <si>
    <t>Proprietary</t>
  </si>
  <si>
    <t>http://www.datamartist.com/_x000D_
http://www.datamartist.com/downloads_x000D_
http://www.datamartist.com/product/datamartist-faq_x000D_
http://www.datamartist.com/product/datamartist-for-developers_x000D_
https://www.softpedia.com/get/Internet/Servers/Database-Utils/Datamartist.shtml</t>
  </si>
  <si>
    <t>1.5.4</t>
  </si>
  <si>
    <t>9/23/2011</t>
  </si>
  <si>
    <t>1 Ghz or higher CPU_x000D_
4 Gb RAM</t>
  </si>
  <si>
    <t>https://sourceforge.net/projects/pentaho/files/latest/download?aliId=137249511_x000D_
_x000D_
https://community.hitachivantara.com/s/article/data-integration-kettle_x000D_
_x000D_
http://wiki.pentaho.com/display/EAI/Latest+Pentaho+Data+Integration+%28aka+Kettle%29+Documentation</t>
  </si>
  <si>
    <t>8.2</t>
  </si>
  <si>
    <t>4/20/2020</t>
  </si>
  <si>
    <t xml:space="preserve">Pentaho is hardware agnostic but there is a recommended set of minimum system specifications:_x000D_
_x000D_
Server:_x000D_
RAM: at least 4GB, Hard drive space: at least 2GB for the software, and more for solution and content files, Processor: dual-core AMD64 or Intel EM64T_x000D_
_x000D_
Workstation:_x000D_
RAM: at least 2GB, Hard drive space: at least 1GB for the software, and more for solution and content files, Processor: dual-core AMD64 or Intel EM64T_x000D_
</t>
  </si>
  <si>
    <t>http://www.sqlpower.ca/page/architect_x000D_
http://www.bestofbi.com/page/architect_download_os</t>
  </si>
  <si>
    <t>v1.0.8</t>
  </si>
  <si>
    <t>JRE 7, Space 1.8 GB, I GB Ram, 2 Ghz Processor</t>
  </si>
  <si>
    <t>http://www.sqlpower.ca/page/dqguru_x000D_
https://www.sqlpower.ca/dqguru/current.html</t>
  </si>
  <si>
    <t>V0.9.7</t>
  </si>
  <si>
    <t>JRE 6, 2 GB Ram, Screen Resolution 1280 X 800</t>
  </si>
  <si>
    <t>4/10/2009</t>
  </si>
  <si>
    <t>https://www.ataccama.com/products/dq-analyzer_x000D_
https://www.softpedia.com/get/Others/Miscellaneous/DQ-Analyzer.shtml_x000D_
https://www.ataccama.com/product/dq-analyzer/download_x000D_
https://support.ataccama.com/home/docs/dqa_x000D_
_x000D_
https://support.ataccama.com/home/docs/dqa/files/22446812/25992263/1/1482249727822/Ataccama+DQA+10+User+Guide.pdf</t>
  </si>
  <si>
    <t>11.0</t>
  </si>
  <si>
    <t>6/11/2019</t>
  </si>
  <si>
    <t>Processor: Intel-compatible - 2 GHz recommended_x000D_
Memory: at least 512 MB - 1 GB recommended_x000D_
Disk space for installation: 400 MB_x000D_
Screen resolution: at least 1024 x 768</t>
  </si>
  <si>
    <t>MIT</t>
  </si>
  <si>
    <t>2.6.0</t>
  </si>
  <si>
    <t>4/14/2020</t>
  </si>
  <si>
    <t>JRE 11, Python 3.8</t>
  </si>
  <si>
    <t>4/15/2020</t>
  </si>
  <si>
    <t>JRE 11</t>
  </si>
  <si>
    <t>DU-MM-7</t>
  </si>
  <si>
    <t>Knowledge Graph</t>
  </si>
  <si>
    <t>Data Preparation and Cleaning</t>
  </si>
  <si>
    <t>Data Profiling, Exploration/Pattern Detection</t>
  </si>
  <si>
    <t>Data Profiling, Exploration / Pattern Detection</t>
  </si>
  <si>
    <t>Data Ingestion and Integration</t>
  </si>
  <si>
    <t>DC-MD</t>
  </si>
  <si>
    <t>DC-MD-1</t>
  </si>
  <si>
    <t>DC-MD-2</t>
  </si>
  <si>
    <t>"Hub" infrastructure to source and distribute master/reference data</t>
  </si>
  <si>
    <t xml:space="preserve">Master data versioning based on data history and timelines </t>
  </si>
  <si>
    <t>DC-MD-3</t>
  </si>
  <si>
    <t>Workflow integrations to steward and publish the master/reference data</t>
  </si>
  <si>
    <t>DC-MD-4</t>
  </si>
  <si>
    <t>DC-MD-5</t>
  </si>
  <si>
    <t>Graph data stores to define relationships for creating a flexible knowledge graph</t>
  </si>
  <si>
    <t>Master Reference Data Management</t>
  </si>
  <si>
    <t>Accessible API for realtime access to shared reference data</t>
  </si>
  <si>
    <t xml:space="preserve">The Pimcore Platform™ is a dual-licensed software application that is powered by the Open Source GPLv3 license and the enterprise-friendly Pimcore Commercial License (PCL). Pimcore is available free of charge as the Open Source Pimcore Community Edition or as the Pimcore Enterprise Subscription. Depending on your licensing needs, you can choose the right variant of Pimcore._x000D_
_x000D_
_x000D_
FEATURES_x000D_
Data Quality/Semantic -  Cleanse, match, verify, and standardize master data._x000D_
Hierarchy Management - Model and store multiple hierarchies to effectively classify all data instances for diverse business requirements and broader functionalities such as searching and reporting._x000D_
Rich Content Integration - Attach digital assets and rich content with the predefined layout to your structured data for engaging and simplified experiences. Simple to configure and easy to extend._x000D_
Audit Trail - Easily manage and maintain different versions of your structured and unstructured data in one place for better data governance. Improve data handling and data stewardship._x000D_
Superior Connectivity - Provide unimaginable choices to connect with business enterprise systems (ERP, CRM, BI, ESB, etc.) or external third-party applications. API based integration with unlimited connectivity._x000D_
Workflow Management - A powerful workflow engine allows internal and external stakeholders to join in your business processes quickly. Easily include any specific benchmarking effort into your master data._x000D_
_x000D_
</t>
  </si>
  <si>
    <t>https://pimcore.com/en/platform/subscription_x000D_
https://pimcore.com/docs/6.x/Development_Documentation/Getting_Started/Create_a_First_Project.html_x000D_
https://pimcore.com/en/resources/documentation_x000D_
https://pimcore.com/en/developers/marketplace_x000D_
https://talk.pimcore.org/_x000D_
https://gitter.im/pimcore/pimcore_x000D_
https://stackoverflow.com/questions/tagged/pimcore</t>
  </si>
  <si>
    <t>Open Source (GPL v3) or Enterprise subscription</t>
  </si>
  <si>
    <t>v6.6.3</t>
  </si>
  <si>
    <t>5/5/2020</t>
  </si>
  <si>
    <t>Windows, MacOS or Linux</t>
  </si>
  <si>
    <t>https://pimcore.com/docs/6.x/Development_Documentation/Installation_and_Upgrade/System_Requirements.html_x000D_
_x000D_
For production we highly recommend a *nix based system._x000D_
Webserver: Apache &gt;= 2.2; mod_rewrite; .htaccess support (AllowOverride All); Nginx; PHP &gt;= 7.2_x000D_
Database Server: MariaDB &gt;= 10.0.0.5; MySQL &gt;= 5.6.4; AWS Aurora (MySQL); Percona Server</t>
  </si>
  <si>
    <t>4/27/2020</t>
  </si>
  <si>
    <t>v6.3.0</t>
  </si>
  <si>
    <t>pyxplorer</t>
  </si>
  <si>
    <t>https://pypi.org/project/pyxplorer/_x000D_
https://github.com/grundprinzip/pyxplorer_x000D_
http://nbviewer.ipython.org/github/grundprinzip/pyxplorer/blob/master/pyxplorer_stuff.ipynb</t>
  </si>
  <si>
    <t>BSD 2-Clause "Simplified" License</t>
  </si>
  <si>
    <t>0.1.0</t>
  </si>
  <si>
    <t>7/9/2014</t>
  </si>
  <si>
    <t xml:space="preserve">_x000D_
Dependencies: pandas; phys2 for Hive based loading of data sets; pympala for connecting to Impala;_x000D_
snakebite for loading data from HDFS to Hive_x000D_
</t>
  </si>
  <si>
    <t>3/11/2020</t>
  </si>
  <si>
    <t>Windows, macOS, or Linux.</t>
  </si>
  <si>
    <t>User Rating: 8.8/10_x000D_
Popular open-source data science platform, Enterprise Edition enables organizations to scale data science and machine learning capabilities. Anaconda is an open source Python distribution / data discovery &amp; analytics platform._x000D_
Anaconda Individual Edition is a free, easy-to-install package manager, environment manager, and Python distribution with a collection of 1,500+ open source packages with free community support. _x000D_
Anaconda® is a package manager, an environment manager, a Python/R data science distribution, and a collection of over 7,500+ open-source packages. Anaconda is free and easy to install, and it offers free community support._x000D_
_x000D_
FEATURES_x000D_
_x000D_
-Bindings to the following CUDA libraries:_x000D_
--cuBLAS_x000D_
--cuFFT_x000D_
--cuSPARSE_x000D_
--cuRAND_x000D_
--CUDA Sorting algorithms from the CUB and Modern GPU libraries_x000D_
_x000D_
-Speed-boosted linear algebra operations in NumPy, SciPy, scikit-learn and NumExpr libraries using Intel’s Math Kernel Library (MKL)._x000D_
_x000D_
-Accelerated variants of Numpy’s built-in UFuncs._x000D_
_x000D_
-Increased-speed Fast Fourier Transformations (FFT) in NumPy.</t>
  </si>
  <si>
    <t>https://www.anaconda.com/products_x000D_
https://docs.anaconda.com/_x000D_
https://docs.anaconda.com/anaconda/install/_x000D_
https://docs.anaconda.com/anaconda/reference/release-notes/_x000D_
https://s3.us-east-1.amazonaws.com/anacondacdn/resources/datasheets/anaconda-enterprise-edition-onepager.pdf</t>
  </si>
  <si>
    <t>License: Free use and redistribution under the terms of the End User License Agreement - Anaconda® Individual Edition._x000D_
Operating system: Windows 8 or newer, 64-bit macOS 10.13+, or Linux, including Ubuntu, RedHat, CentOS 6+, and others._x000D_
If your operating system is older than what is currently supported, you can find older versions of the Anaconda installers in our archive that might work for you. See Using Anaconda on older operating systems for version recommendations._x000D_
System architecture: Windows- 64-bit x86, 32-bit x86; MacOS- 64-bit x86; Linux- 64-bit x86, 64-bit Power8/Power9._x000D_
Minimum 5 GB disk space to download and install._x000D_
On Windows, macOS, and Linux, it is best to install Anaconda for the local user, which does not require administrator permissions and is the most robust type of installation.</t>
  </si>
  <si>
    <t xml:space="preserve">Master data management (MDM) is the process of creating one single master reference source for all critical business data, leading to fewer errors and less redundancy in business processes. </t>
  </si>
  <si>
    <t>Requires Java 1.8 (licensed) or higher and read access to the database to be scanned</t>
  </si>
  <si>
    <t>MobyDQ</t>
  </si>
  <si>
    <t>v1.0</t>
  </si>
  <si>
    <t>5/21/2019</t>
  </si>
  <si>
    <t>Windows, Linux</t>
  </si>
  <si>
    <t>DevOps capabilities for configuration and deployment and capabilities to anonymize/pseudonymous data and support the various roles (especially business roles) required by a data quality initiative without compromising HIPAA/GDPR requirements</t>
  </si>
  <si>
    <t xml:space="preserve">https://pandas-profiling.github.io/pandas-profiling/docs/master/rtd/_x000D_
https://pypi.org/project/pandas-profiling/#modal-close_x000D_
https://www.kaggle.com/nulldata/intro-to-pandas-profiling-simple-fast-eda_x000D_
https://github.com/pandas-profiling/pandas-profiling_x000D_
</t>
  </si>
  <si>
    <t>https://sourceforge.net/projects/dataquality/_x000D_
_x000D_
http://www.arrahtech.com/docs/installation_guide.html</t>
  </si>
  <si>
    <t>http://datacleaner.org/docs_x000D_
https://github.com/datacleaner/DataCleaner_x000D_
https://travis-ci.org/datacleaner/DataCleaner</t>
  </si>
  <si>
    <t xml:space="preserve">A computer (with a graphical display, except if run in command-line mode)._x000D_
A Java Runtime Environment (JRE), version 7 or higher._x000D_
A DataCleaner software license file for professional editions._x000D_
</t>
  </si>
  <si>
    <t xml:space="preserve">https://sourceforge.net/projects/weka/_x000D_
_x000D_
https://www.cs.waikato.ac.nz/ml/weka/_x000D_
</t>
  </si>
  <si>
    <t xml:space="preserve">https://www.talend.com/products/talend-open-studio/_x000D_
https://www.talend.com/products/specifications-data-preparation/_x000D_
https://www.talend.com/services/training/catalog/data-preparation/_x000D_
https://www.talend.com/products/data-preparation-free-desktop-manuals-release-notes/_x000D_
https://www.talend.com/products/data-preparation/data-preparation-free-desktop/_x000D_
https://help.talend.com/?_ga=2.160577595.701901107.1588024425-1229489531.1584476910&amp;_gac=1.45294608.1586205682.EAIaIQobChMIyc_UytTU6AIVDtVkCh2RWgdCEAAYAiAAEgL_U_D_BwE_x000D_
_x000D_
https://download-mirror2.talend.com/tdp/user-guide-download/V251/TalendDataPrep_GettingStarted_EN.pdf_x000D_
_x000D_
_x000D_
</t>
  </si>
  <si>
    <t>TOTAL SCORE</t>
  </si>
  <si>
    <t>Tool</t>
  </si>
  <si>
    <t>Data Sources / File Formats</t>
  </si>
  <si>
    <t>Simple text formats (CSV, PDF, XLS, JSON, XML, etc)</t>
  </si>
  <si>
    <t>Unstructured data types (images, documents, networks, molecules, etc)</t>
  </si>
  <si>
    <t>Time series data</t>
  </si>
  <si>
    <t>Connect to a host of databases and data warehouses to integrate data from Oracle, Microsoft SQL, Apache Hive, and more</t>
  </si>
  <si>
    <t>Load Avro, Parquet, or ORC files from HDFS, S3, or Azure</t>
  </si>
  <si>
    <t>Access and retrieve data from sources such as Twitter, AWS S3, Google Sheets, and Azure and extended via pandas</t>
  </si>
  <si>
    <t>Text: - CSV, fixed-width test files, JSON, HTML, Clipboard, Excel</t>
  </si>
  <si>
    <t>Binary: OpenDocument, HDF5 Format, Feather Format, Parqeuet Format, ORC Format, Msgpak, Stata, SAS, SPSS, Python Pickle Format</t>
  </si>
  <si>
    <t>SQL, Google BigQuery</t>
  </si>
  <si>
    <t xml:space="preserve"> Excel (.xlsx), simple tab-delimited (.txt), comma-separated files (.csv) or Google Sheets document</t>
  </si>
  <si>
    <t>distance matrix: Distance File</t>
  </si>
  <si>
    <t>predictive model: Load Model</t>
  </si>
  <si>
    <t>network: Network File from Network add-on</t>
  </si>
  <si>
    <t>images: Import Images from Image Analytics add-on</t>
  </si>
  <si>
    <t>several spectroscopy files: Multifile from Spectroscopy add-on</t>
  </si>
  <si>
    <t>PostgreSQL, SQL, online repository, and extended via pandas</t>
  </si>
  <si>
    <t>Files: CSV, Stata, Hyper (Tableau), XLS, XML, QLikView, and more</t>
  </si>
  <si>
    <t>SQL: AccessDB, HSQLDB, Microsoft SQL Server (JTDS / Microsoft), MySQL, Oracle, PostgreSQL, Sybase</t>
  </si>
  <si>
    <t>NoSQL: Cassandra, MongoDB, Solr, Splunk (read only)</t>
  </si>
  <si>
    <t>Cloud services: Amazon S3, Auzure blog and data lake, Dropbox, Google, Salesforce, Twitter, Zapier, Salesforce</t>
  </si>
  <si>
    <t>Arff, JSON, CSV, xrff, dat, data, names, and more</t>
  </si>
  <si>
    <t>Database using ODBC</t>
  </si>
  <si>
    <t>Oracle, PostgreSQL, MySQL, DB2, MsSQL, Cloudscape, Pointbase, Firebird, IDS, Informix, Enhydra, Interbase, Hypersonic, jTurbo, SQLServer and Sybase</t>
  </si>
  <si>
    <t xml:space="preserve">CSV files, MS Excel spreadsheets </t>
  </si>
  <si>
    <t>Relational database systems, such as MS SQL, DB2, MySQL or PostgreSQL</t>
  </si>
  <si>
    <t>comma-separated text files</t>
  </si>
  <si>
    <t>MySQL, SQL Server, Oracle, PostgreSQL, Microsoft APS, Microsoft Access, Amazon RedShift, Google BigQuery</t>
  </si>
  <si>
    <t xml:space="preserve"> XML, XLS or CSV format, PDF export</t>
  </si>
  <si>
    <t>Teiid, Mysql, Oracle,Postgres,Access,Db2,SQL Server certified Big data support - HIVE</t>
  </si>
  <si>
    <t>Cloud: Amazon Web Services (AWS), Microsoft Azure, Google Cloud Platform, and more</t>
  </si>
  <si>
    <t>RDBMS: Oracle, Teradata, Microsoft SQL server, and more</t>
  </si>
  <si>
    <t>SaaS: Marketo, Salesforce, NetSuite, and more</t>
  </si>
  <si>
    <t>Packaged Apps: SAP, Microsoft Dynamics, Sugar CRM, and more</t>
  </si>
  <si>
    <t>Technologies: Dropbox, Box, SMTP, FTP/SFTP, LDAP, and more</t>
  </si>
  <si>
    <t xml:space="preserve">Local or remote file that can be imported into the Talend Data Preparation tool (or from a database connection or other data sources, although not in the context of the Free Desktop version). </t>
  </si>
  <si>
    <t>Excel or CSV file</t>
  </si>
  <si>
    <t>90+ data sources and scale with Stitch Data Loader - https://www.talend.com/products/pricing-model/</t>
  </si>
  <si>
    <t>More than 900 pre-built connectors and components for Oracle, Teradata, Microsoft SQL server, Marketo, Salesforce, NetSuite, SAP, Microsoft Dynamics, Sugar CRM, Dropbox, Box, SMTP, FTP/SFTP, LDAP, and more</t>
  </si>
  <si>
    <r>
      <t>Talend Open Studio For ESB</t>
    </r>
    <r>
      <rPr>
        <sz val="11"/>
        <color rgb="FFFF0000"/>
        <rFont val="Calibri"/>
        <family val="2"/>
        <scheme val="minor"/>
      </rPr>
      <t xml:space="preserve"> (LIMITED FREE VERSION)</t>
    </r>
  </si>
  <si>
    <r>
      <t xml:space="preserve">Pandas Profiling (using Pandas I/O) </t>
    </r>
    <r>
      <rPr>
        <sz val="11"/>
        <color theme="1"/>
        <rFont val="Calibri"/>
        <family val="2"/>
        <scheme val="minor"/>
      </rPr>
      <t xml:space="preserve">
(Python module for exploratory data analysis (EDA))</t>
    </r>
  </si>
  <si>
    <r>
      <t xml:space="preserve">RapidMiner </t>
    </r>
    <r>
      <rPr>
        <sz val="11"/>
        <color rgb="FFFF0000"/>
        <rFont val="Calibri"/>
        <family val="2"/>
        <scheme val="minor"/>
      </rPr>
      <t xml:space="preserve"> (LIMITED FREE VERSION)</t>
    </r>
    <r>
      <rPr>
        <b/>
        <sz val="11"/>
        <color theme="1"/>
        <rFont val="Calibri"/>
        <family val="2"/>
        <scheme val="minor"/>
      </rPr>
      <t xml:space="preserve">
</t>
    </r>
    <r>
      <rPr>
        <sz val="11"/>
        <color theme="1"/>
        <rFont val="Calibri"/>
        <family val="2"/>
        <scheme val="minor"/>
      </rPr>
      <t>(Integrated environment for data preparation, machine learning, deep learning, text mining, and predictive analytics)</t>
    </r>
  </si>
  <si>
    <r>
      <t xml:space="preserve">WEKA
</t>
    </r>
    <r>
      <rPr>
        <sz val="11"/>
        <color theme="1"/>
        <rFont val="Calibri"/>
        <family val="2"/>
        <scheme val="minor"/>
      </rPr>
      <t>(Machine learning software to solve data mining problems)</t>
    </r>
  </si>
  <si>
    <r>
      <t>Anonimatron</t>
    </r>
    <r>
      <rPr>
        <sz val="11"/>
        <color theme="1"/>
        <rFont val="Calibri"/>
        <family val="2"/>
        <scheme val="minor"/>
      </rPr>
      <t xml:space="preserve">
(Pseudonymizes datasets)</t>
    </r>
  </si>
  <si>
    <r>
      <t xml:space="preserve">ARX Data Anonymization
</t>
    </r>
    <r>
      <rPr>
        <sz val="11"/>
        <color theme="1"/>
        <rFont val="Calibri"/>
        <family val="2"/>
        <scheme val="minor"/>
      </rPr>
      <t>(Scalable Data Anonymization Tool - supports multiple privacy models )</t>
    </r>
  </si>
  <si>
    <r>
      <t xml:space="preserve">WhiteRabbit
</t>
    </r>
    <r>
      <rPr>
        <sz val="11"/>
        <color theme="1"/>
        <rFont val="Calibri"/>
        <family val="2"/>
        <scheme val="minor"/>
      </rPr>
      <t>(Tool to help prepare for ETLs of healthcare datasets)</t>
    </r>
  </si>
  <si>
    <r>
      <t xml:space="preserve">Aggregate Profiler (AP)
</t>
    </r>
    <r>
      <rPr>
        <sz val="11"/>
        <color theme="1"/>
        <rFont val="Calibri"/>
        <family val="2"/>
        <scheme val="minor"/>
      </rPr>
      <t>(Data profiling and analysis tool)</t>
    </r>
  </si>
  <si>
    <r>
      <t xml:space="preserve">Talend Open Studio for Data Integration </t>
    </r>
    <r>
      <rPr>
        <sz val="11"/>
        <color rgb="FFFF0000"/>
        <rFont val="Calibri"/>
        <family val="2"/>
        <scheme val="minor"/>
      </rPr>
      <t>(LIMITED FREE VERSION)</t>
    </r>
    <r>
      <rPr>
        <b/>
        <sz val="11"/>
        <color theme="1"/>
        <rFont val="Calibri"/>
        <family val="2"/>
        <scheme val="minor"/>
      </rPr>
      <t xml:space="preserve">
</t>
    </r>
    <r>
      <rPr>
        <sz val="11"/>
        <color theme="1"/>
        <rFont val="Calibri"/>
        <family val="2"/>
        <scheme val="minor"/>
      </rPr>
      <t>(Data integration and ETL)</t>
    </r>
  </si>
  <si>
    <r>
      <t>Talend Open Studio For Big Data</t>
    </r>
    <r>
      <rPr>
        <sz val="11"/>
        <color theme="1"/>
        <rFont val="Calibri"/>
        <family val="2"/>
        <scheme val="minor"/>
      </rPr>
      <t xml:space="preserve"> </t>
    </r>
    <r>
      <rPr>
        <sz val="11"/>
        <color rgb="FFFF0000"/>
        <rFont val="Calibri"/>
        <family val="2"/>
        <scheme val="minor"/>
      </rPr>
      <t>(LIMITED FREE VERSION)</t>
    </r>
    <r>
      <rPr>
        <b/>
        <sz val="11"/>
        <color theme="1"/>
        <rFont val="Calibri"/>
        <family val="2"/>
        <scheme val="minor"/>
      </rPr>
      <t xml:space="preserve">
</t>
    </r>
    <r>
      <rPr>
        <sz val="11"/>
        <color theme="1"/>
        <rFont val="Calibri"/>
        <family val="2"/>
        <scheme val="minor"/>
      </rPr>
      <t>(ETL for large and diverse data sets)</t>
    </r>
  </si>
  <si>
    <r>
      <t>Talend Open Studio For Data Quality</t>
    </r>
    <r>
      <rPr>
        <sz val="11"/>
        <color rgb="FFFF0000"/>
        <rFont val="Calibri"/>
        <family val="2"/>
        <scheme val="minor"/>
      </rPr>
      <t xml:space="preserve"> (LIMITED FREE VERSION)</t>
    </r>
    <r>
      <rPr>
        <b/>
        <sz val="11"/>
        <color theme="1"/>
        <rFont val="Calibri"/>
        <family val="2"/>
        <scheme val="minor"/>
      </rPr>
      <t xml:space="preserve">
</t>
    </r>
    <r>
      <rPr>
        <sz val="11"/>
        <color theme="1"/>
        <rFont val="Calibri"/>
        <family val="2"/>
        <scheme val="minor"/>
      </rPr>
      <t>(Assesses accuracy and integrity of data - Data Profiling Tool)</t>
    </r>
  </si>
  <si>
    <r>
      <t>Knime</t>
    </r>
    <r>
      <rPr>
        <sz val="11"/>
        <color theme="1"/>
        <rFont val="Calibri"/>
        <family val="2"/>
        <scheme val="minor"/>
      </rPr>
      <t xml:space="preserve">
(Data analytics, profiling, reporting and integration platform)</t>
    </r>
  </si>
  <si>
    <r>
      <t>Orange</t>
    </r>
    <r>
      <rPr>
        <sz val="11"/>
        <color theme="1"/>
        <rFont val="Calibri"/>
        <family val="2"/>
        <scheme val="minor"/>
      </rPr>
      <t xml:space="preserve">
(Data visualization, machine learning, data profiling and mining toolkit)</t>
    </r>
  </si>
  <si>
    <r>
      <t>Talend Open Studio For MDM</t>
    </r>
    <r>
      <rPr>
        <sz val="11"/>
        <color theme="1"/>
        <rFont val="Calibri"/>
        <family val="2"/>
        <scheme val="minor"/>
      </rPr>
      <t xml:space="preserve"> </t>
    </r>
    <r>
      <rPr>
        <sz val="11"/>
        <color rgb="FFFF0000"/>
        <rFont val="Calibri"/>
        <family val="2"/>
        <scheme val="minor"/>
      </rPr>
      <t>(LIMITED FREE VERSION)</t>
    </r>
    <r>
      <rPr>
        <sz val="11"/>
        <color theme="1"/>
        <rFont val="Calibri"/>
        <family val="2"/>
        <scheme val="minor"/>
      </rPr>
      <t xml:space="preserve">
(key capabilities for data governance and master data management)</t>
    </r>
  </si>
  <si>
    <t>AWS, Microsoft Azure, Google Cloud Platform, and more. Plus SaaS, packaged apps, and web services</t>
  </si>
  <si>
    <t>TSV, CSV, *SV, .xls, .xlsx, JSON, XML,RDF as XML and google documents</t>
  </si>
  <si>
    <r>
      <t>OpenRefine</t>
    </r>
    <r>
      <rPr>
        <sz val="11"/>
        <color theme="1"/>
        <rFont val="Calibri"/>
        <family val="2"/>
        <scheme val="minor"/>
      </rPr>
      <t xml:space="preserve">
(Tool for cleaning and transforming data)</t>
    </r>
  </si>
  <si>
    <t>CSV files, Excel spreadsheets</t>
  </si>
  <si>
    <t>JDBC, MySQL, PostrgreSQL, SQL Server</t>
  </si>
  <si>
    <t>Salesforce, SugarCRM</t>
  </si>
  <si>
    <r>
      <t xml:space="preserve">DataPreparator
</t>
    </r>
    <r>
      <rPr>
        <sz val="11"/>
        <color theme="1"/>
        <rFont val="Calibri"/>
        <family val="2"/>
        <scheme val="minor"/>
      </rPr>
      <t>(Preprocessing - data cleaning, transformation, and exploration)</t>
    </r>
  </si>
  <si>
    <t>ARFF, DATA, CSV or plain text file format</t>
  </si>
  <si>
    <t>JDBC, XLS</t>
  </si>
  <si>
    <t>Access, ApacheHBase,  DynamicsCRM, Email, Excel, Facebook, JSON, MongoDB, MySQL, Salesforce, SugarCRM, Twitter,  XML</t>
  </si>
  <si>
    <t>SQL Server, Oracle, MySQL, ODBC, MS Access, Excel Spreadsheets, Delimited text files including CSV data</t>
  </si>
  <si>
    <r>
      <t xml:space="preserve">Data Match </t>
    </r>
    <r>
      <rPr>
        <sz val="11"/>
        <color rgb="FFFF0000"/>
        <rFont val="Calibri"/>
        <family val="2"/>
        <scheme val="minor"/>
      </rPr>
      <t>(30-DAY FREE TRIAL)</t>
    </r>
    <r>
      <rPr>
        <sz val="11"/>
        <color theme="1"/>
        <rFont val="Calibri"/>
        <family val="2"/>
        <scheme val="minor"/>
      </rPr>
      <t xml:space="preserve">
(visual data cleansing application  - a component of Data Ladder)</t>
    </r>
  </si>
  <si>
    <r>
      <t xml:space="preserve">DataMartist </t>
    </r>
    <r>
      <rPr>
        <sz val="11"/>
        <color rgb="FFFF0000"/>
        <rFont val="Calibri"/>
        <family val="2"/>
        <scheme val="minor"/>
      </rPr>
      <t>(30 DAY FREE TRIAL, STANDARD - $349, PROFESSIONAL - $995)</t>
    </r>
    <r>
      <rPr>
        <b/>
        <sz val="11"/>
        <color theme="1"/>
        <rFont val="Calibri"/>
        <family val="2"/>
        <scheme val="minor"/>
      </rPr>
      <t xml:space="preserve">
</t>
    </r>
    <r>
      <rPr>
        <sz val="11"/>
        <color theme="1"/>
        <rFont val="Calibri"/>
        <family val="2"/>
        <scheme val="minor"/>
      </rPr>
      <t>( visual, data profiling and data transformation tool)</t>
    </r>
  </si>
  <si>
    <t>Oracle, PostgreSQL, Redshift, SAP, SQLite, SparkSQL, Sybase, Teradata, UniVerse, Verica, Cloudera Impala, Hypersonic, H2 and more</t>
  </si>
  <si>
    <t xml:space="preserve">Connectivity to &lt; 5 data sources </t>
  </si>
  <si>
    <t>JDBC, PostgreSQL, SQL, MySQL, HSSQLDB, Oracle, DB2, HSQLDB, SQLstream, H2, Derby</t>
  </si>
  <si>
    <r>
      <t xml:space="preserve">SQL Power Architect  </t>
    </r>
    <r>
      <rPr>
        <sz val="11"/>
        <color rgb="FFFF0000"/>
        <rFont val="Calibri"/>
        <family val="2"/>
        <scheme val="minor"/>
      </rPr>
      <t xml:space="preserve">(COMMUNITY EDITION - Limited) </t>
    </r>
    <r>
      <rPr>
        <b/>
        <sz val="11"/>
        <color theme="1"/>
        <rFont val="Calibri"/>
        <family val="2"/>
        <scheme val="minor"/>
      </rPr>
      <t xml:space="preserve">
</t>
    </r>
    <r>
      <rPr>
        <sz val="11"/>
        <color theme="1"/>
        <rFont val="Calibri"/>
        <family val="2"/>
        <scheme val="minor"/>
      </rPr>
      <t>(Data Modeling &amp; Profiling Tool)</t>
    </r>
  </si>
  <si>
    <r>
      <t>Pentaho Kettle</t>
    </r>
    <r>
      <rPr>
        <sz val="11"/>
        <color rgb="FFFF0000"/>
        <rFont val="Calibri"/>
        <family val="2"/>
        <scheme val="minor"/>
      </rPr>
      <t xml:space="preserve"> (COMMUNITY EDITION - Limited)</t>
    </r>
    <r>
      <rPr>
        <b/>
        <sz val="11"/>
        <color theme="1"/>
        <rFont val="Calibri"/>
        <family val="2"/>
        <scheme val="minor"/>
      </rPr>
      <t xml:space="preserve"> 
</t>
    </r>
    <r>
      <rPr>
        <sz val="11"/>
        <color theme="1"/>
        <rFont val="Calibri"/>
        <family val="2"/>
        <scheme val="minor"/>
      </rPr>
      <t>(ETL Tool)
Integrates with WEKA (Data Profiling)</t>
    </r>
  </si>
  <si>
    <r>
      <t xml:space="preserve">DataCleaner </t>
    </r>
    <r>
      <rPr>
        <sz val="11"/>
        <color theme="1"/>
        <rFont val="Calibri"/>
        <family val="2"/>
        <scheme val="minor"/>
      </rPr>
      <t xml:space="preserve"> </t>
    </r>
    <r>
      <rPr>
        <sz val="11"/>
        <color rgb="FFFF0000"/>
        <rFont val="Calibri"/>
        <family val="2"/>
        <scheme val="minor"/>
      </rPr>
      <t>(COMMUNITY EDITION - Limited)</t>
    </r>
    <r>
      <rPr>
        <b/>
        <sz val="11"/>
        <color theme="1"/>
        <rFont val="Calibri"/>
        <family val="2"/>
        <scheme val="minor"/>
      </rPr>
      <t xml:space="preserve">
</t>
    </r>
    <r>
      <rPr>
        <sz val="11"/>
        <color theme="1"/>
        <rFont val="Calibri"/>
        <family val="2"/>
        <scheme val="minor"/>
      </rPr>
      <t>(Data profiling, data cleaning, and data integration tool) - offers integration with Pentaho</t>
    </r>
  </si>
  <si>
    <r>
      <t xml:space="preserve">SQL Power Dqguru </t>
    </r>
    <r>
      <rPr>
        <sz val="11"/>
        <color rgb="FFFF0000"/>
        <rFont val="Calibri"/>
        <family val="2"/>
        <scheme val="minor"/>
      </rPr>
      <t xml:space="preserve"> (COMMUNITY EDITION - Limited) 
</t>
    </r>
    <r>
      <rPr>
        <sz val="11"/>
        <rFont val="Calibri"/>
        <family val="2"/>
        <scheme val="minor"/>
      </rPr>
      <t>(Data Cleansing &amp; MDM Tool)</t>
    </r>
  </si>
  <si>
    <t>JDBC, Oracle, Postgress, MySQL, Sybase and more</t>
  </si>
  <si>
    <r>
      <t>DQ Analyzer</t>
    </r>
    <r>
      <rPr>
        <sz val="11"/>
        <color rgb="FFFF0000"/>
        <rFont val="Calibri"/>
        <family val="2"/>
        <scheme val="minor"/>
      </rPr>
      <t xml:space="preserve">  (COMMUNITY EDITION - Limited)</t>
    </r>
    <r>
      <rPr>
        <b/>
        <sz val="11"/>
        <color theme="1"/>
        <rFont val="Calibri"/>
        <family val="2"/>
        <scheme val="minor"/>
      </rPr>
      <t xml:space="preserve">
</t>
    </r>
    <r>
      <rPr>
        <sz val="11"/>
        <color theme="1"/>
        <rFont val="Calibri"/>
        <family val="2"/>
        <scheme val="minor"/>
      </rPr>
      <t>(Data profiling tool)</t>
    </r>
  </si>
  <si>
    <t>Oracle, MS SQL, DB2, Sybase, Teradata, MySQL, Apache Derby, PostgreSQL</t>
  </si>
  <si>
    <t xml:space="preserve">CSV, TXT, and XLS(X) </t>
  </si>
  <si>
    <r>
      <t xml:space="preserve">Pimcore
</t>
    </r>
    <r>
      <rPr>
        <sz val="11"/>
        <color theme="1"/>
        <rFont val="Calibri"/>
        <family val="2"/>
        <scheme val="minor"/>
      </rPr>
      <t>(Data Management, Integration, PIM, MDM, DAM)</t>
    </r>
  </si>
  <si>
    <t>Simple interaction file (SIF or .sif format), Graph Markup Language (GML or .gml format), XGMML (extensible graph markup and modelling language), SBML, BioPAX, PSI-MI Level 1 and 2.5, Delimited text, Excel Workbook (.xls)</t>
  </si>
  <si>
    <r>
      <t xml:space="preserve">CytoScape
</t>
    </r>
    <r>
      <rPr>
        <sz val="11"/>
        <color theme="1"/>
        <rFont val="Calibri"/>
        <family val="2"/>
        <scheme val="minor"/>
      </rPr>
      <t>(software platform for visualizing molecular interaction networks and biological pathways )</t>
    </r>
  </si>
  <si>
    <t>Multiple Python Connectors</t>
  </si>
  <si>
    <r>
      <t xml:space="preserve">Anaconda
</t>
    </r>
    <r>
      <rPr>
        <sz val="11"/>
        <color theme="1"/>
        <rFont val="Calibri"/>
        <family val="2"/>
        <scheme val="minor"/>
      </rPr>
      <t>(data science platform)</t>
    </r>
  </si>
  <si>
    <t>https://github.com/ubisoftinc/mobydq_x000D_
https://ubisoftinc.github.io/mobydq/_x000D_
https://ubisoftinc.github.io/mobydq/pages/productiondeployment/</t>
  </si>
  <si>
    <r>
      <t xml:space="preserve">pyxplorer
</t>
    </r>
    <r>
      <rPr>
        <sz val="11"/>
        <color theme="1"/>
        <rFont val="Calibri"/>
        <family val="2"/>
        <scheme val="minor"/>
      </rPr>
      <t>(a simple tool that allows interactive profiling of datasets)</t>
    </r>
  </si>
  <si>
    <t>Hive, Impala, MySQL</t>
  </si>
  <si>
    <r>
      <t xml:space="preserve">MobyDQ
</t>
    </r>
    <r>
      <rPr>
        <sz val="11"/>
        <color theme="1"/>
        <rFont val="Calibri"/>
        <family val="2"/>
        <scheme val="minor"/>
      </rPr>
      <t>(aims to automate Data Quality checks during data processing)</t>
    </r>
  </si>
  <si>
    <t xml:space="preserve">Cloudera Hive, MariaDB, Microsoft SQL Server, MySQL, Oracle, PostgreSQL, SQLite, Teradata, Snowflake, Hortonworks Hive </t>
  </si>
  <si>
    <r>
      <t xml:space="preserve">DataCleaner </t>
    </r>
    <r>
      <rPr>
        <sz val="14"/>
        <color rgb="FFFF0000"/>
        <rFont val="Calibri"/>
        <family val="2"/>
        <scheme val="minor"/>
      </rPr>
      <t>(COMMUNITY EDITION)</t>
    </r>
  </si>
  <si>
    <r>
      <t xml:space="preserve">RapidMiner </t>
    </r>
    <r>
      <rPr>
        <sz val="14"/>
        <color rgb="FFFF0000"/>
        <rFont val="Calibri"/>
        <family val="2"/>
        <scheme val="minor"/>
      </rPr>
      <t>(LIMITED FREE VERSION)</t>
    </r>
  </si>
  <si>
    <r>
      <t>Talend Open Studio For Data Quality</t>
    </r>
    <r>
      <rPr>
        <sz val="14"/>
        <color rgb="FFFF0000"/>
        <rFont val="Calibri"/>
        <family val="2"/>
        <scheme val="minor"/>
      </rPr>
      <t xml:space="preserve"> (LIMITED FREE VERSION)</t>
    </r>
  </si>
  <si>
    <r>
      <t>Talend Open Studio For ESB</t>
    </r>
    <r>
      <rPr>
        <sz val="14"/>
        <color rgb="FFFF0000"/>
        <rFont val="Calibri"/>
        <family val="2"/>
        <scheme val="minor"/>
      </rPr>
      <t xml:space="preserve"> (LIMITED FREE VERSION)</t>
    </r>
  </si>
  <si>
    <r>
      <t xml:space="preserve">Talend Open Studio for Data Integration </t>
    </r>
    <r>
      <rPr>
        <sz val="14"/>
        <color rgb="FFFF0000"/>
        <rFont val="Calibri"/>
        <family val="2"/>
        <scheme val="minor"/>
      </rPr>
      <t>(LIMITED FREE VERSION)</t>
    </r>
  </si>
  <si>
    <r>
      <t>Talend Open Studio For Big Data</t>
    </r>
    <r>
      <rPr>
        <sz val="14"/>
        <color rgb="FFFF0000"/>
        <rFont val="Calibri"/>
        <family val="2"/>
        <scheme val="minor"/>
      </rPr>
      <t xml:space="preserve"> (LIMITED FREE VERSION)</t>
    </r>
  </si>
  <si>
    <r>
      <t>DataMartist</t>
    </r>
    <r>
      <rPr>
        <sz val="14"/>
        <color rgb="FFFF0000"/>
        <rFont val="Calibri"/>
        <family val="2"/>
        <scheme val="minor"/>
      </rPr>
      <t xml:space="preserve"> (30 DAY FREE TRIAL, STANDARD - $349, PROFESSIONAL - $995)</t>
    </r>
  </si>
  <si>
    <r>
      <t xml:space="preserve">Pandas Profiling </t>
    </r>
    <r>
      <rPr>
        <b/>
        <sz val="14"/>
        <color rgb="FF00B050"/>
        <rFont val="Calibri"/>
        <family val="2"/>
        <scheme val="minor"/>
      </rPr>
      <t>(BEST DATA PROFILING)</t>
    </r>
  </si>
  <si>
    <r>
      <t>Talend Open Studio For MDM</t>
    </r>
    <r>
      <rPr>
        <sz val="14"/>
        <color rgb="FFFF0000"/>
        <rFont val="Calibri"/>
        <family val="2"/>
        <scheme val="minor"/>
      </rPr>
      <t xml:space="preserve"> (LIMITED FREE EDITION)</t>
    </r>
  </si>
  <si>
    <r>
      <t xml:space="preserve">Pentaho Kettle </t>
    </r>
    <r>
      <rPr>
        <sz val="14"/>
        <color rgb="FFFF0000"/>
        <rFont val="Calibri"/>
        <family val="2"/>
        <scheme val="minor"/>
      </rPr>
      <t xml:space="preserve">(COMMUNITY EDITION) </t>
    </r>
  </si>
  <si>
    <r>
      <t xml:space="preserve">Data Match </t>
    </r>
    <r>
      <rPr>
        <sz val="14"/>
        <color rgb="FFFF0000"/>
        <rFont val="Calibri"/>
        <family val="2"/>
        <scheme val="minor"/>
      </rPr>
      <t>(30-DAY FREE TRIAL)</t>
    </r>
  </si>
  <si>
    <t>DATA PROFILING TOOLS</t>
  </si>
  <si>
    <r>
      <t xml:space="preserve">DQ Analyzer </t>
    </r>
    <r>
      <rPr>
        <sz val="14"/>
        <color rgb="FFFF0000"/>
        <rFont val="Calibri"/>
        <family val="2"/>
        <scheme val="minor"/>
      </rPr>
      <t>(COMMUNITY EDITION)</t>
    </r>
  </si>
  <si>
    <r>
      <t>DataMartist</t>
    </r>
    <r>
      <rPr>
        <sz val="14"/>
        <color rgb="FFFF0000"/>
        <rFont val="Calibri"/>
        <family val="2"/>
        <scheme val="minor"/>
      </rPr>
      <t xml:space="preserve"> (30 DAY FREE TRIAL)</t>
    </r>
  </si>
  <si>
    <t>DATA QUALITY TESTING TOOL</t>
  </si>
  <si>
    <t xml:space="preserve">Integrated environment for data preparation, machine learning, deep learning, text mining, and predictive analytics_x000D_
_x000D_
LIMITED FREE VERSION:_x000D_
-10,000 Data Rows_x000D_
-1 Logical Processor_x000D_
-Community Support_x000D_
-30 Day Trial of Enterprise_x000D_
_x000D_
Easy-to-use visual environment for predictive analytics. No programming required. RapidMiner is easily the most powerful and intuitive graphical user interface for the design of analysis processes. Forget sifting through code! You can also choose to run in batch mode. Whatever you prefer, RapidMiner has it all._x000D_
_x000D_
RapidMiner Python package:_x000D_
Both Studio and Server classes provide a read and a write method for reading / writing data and other objects, and a run method to run processes. The method signatures are the same, with somewhat different extra parameters._x000D_
_x000D_
Studio class requires a local Studio installation and is suitable in the following cases:_x000D_
_x000D_
Implementing certain data science steps in Python using your favorite IDE or notebook implementation. You may even use the resulting code afterwards in a RapidMiner process within an Execute Python operator._x000D_
You are using coding primarily, but you want to incorporate methods that are impemented in a RapidMiner process._x000D_
Creating batch tasks that also interact with the repository and / or run processes._x000D_
Server class connects directly to a Server instance without the need of a Studio installation. It is suitable in the following cases:_x000D_
_x000D_
Collaborating with RapidMiner users, sharing data easily._x000D_
Calling, running, scheduling processes on the RapidMiner Server platform from a local script _x000D_
_x000D_
DATA SOURCES / FILE FORMATS:_x000D_
_x000D_
Files: CSV, Stata, Hyper (Tableau), XLS, XML, QLikView, and more_x000D_
SQL: AccessDB, HSQLDB, Microsoft SQL Server (JTDS / Microsoft), MySQL, Oracle, PostgreSQL, Sybase_x000D_
NoSQL: Cassandra, MongoDB, Solr, Splunk (read only)_x000D_
Cloud services: Amazon S3, Azure blog and data lake, Dropbox, Google, Salesforce, Twitter, Zapier, Salesforce_x000D_
</t>
  </si>
  <si>
    <t>Data analytics, profiling, reporting and integration platform_x000D_
_x000D_
KNIME Analytics Platform is an open solution for data-driven innovation, designed for discovering the potential hidden in data, mining for fresh insights, or predicting new futures. Organizations can take their collaboration, productivity and performance to the next level with a robust range of commercial extensions to our open source platform._x000D_
_x000D_
KNIME Analytics Platform provides the tools to connect to a host of databases and data warehouses, access a variety of file formats, retrieve data from cloud resources or external services, and more. The broad set of out-of-the-box functionality, allows you to seamlessly integrate and transform the data in one uniform, visual environment on your own - no dependencies on central IT. If there’s a functionality you’re missing, simply integrate the tools you like or take advantage of the many integrations we have with other open source projects.  Workflows created with KNIME Analytics Platform automatically document each step of your data wrangling process. Meaning, if you share workflows or results with your colleagues, they can easily understand the individual steps of your workflow and provide feedback._x000D_
_x000D_
KNIME Software covers all kinds of data analytics functionality - for example classification, regression, dimension reduction, or clustering, using advanced algorithms including deep learning, tree-based methods, and logistic regression. Among these, are integrations with other large, open source projects such as Keras or Tensorflow for deep learning, H2O for high performance machine learning, R and Python for coding, and various implementations for model interpretability and validation._x000D_
_x000D_
From integrations with Apache Spark for big data processing, to KNIME Server distributed executors for handling concurrent workflow execution, KNIME Software ensures data science is created and deployed quickly and efficiently. _x000D_
_x000D_
FEATURES:_x000D_
-Powerful Analytics_x000D_
- Data and Tool Blending_x000D_
- Over 1000 modules and growing_x000D_
- Connectors for all major file formats and databases_x000D_
- Supports multiple data types: XML, JSON, images, documetns etc._x000D_
- Native and in-database data blending and transformation_x000D_
- Math and statistical functions_x000D_
- Advanced predictive and machine learning algorithms_x000D_
- Workflow control_x000D_
- Tool blending for Python, R, SQL, Java, Weka and others_x000D_
- Interactive data views and reporting_x000D_
_x000D_
DATA SOURCES / FILE FORMATS:_x000D_
Simple text formats (CSV, PDF, XLS, JSON, XML, etc.)_x000D_
Unstructured data types (images, documents, networks, molecules, etc.)_x000D_
Time series data_x000D_
Connect to a host of databases and data warehouses to integrate data from Oracle, Microsoft SQL, Apache Hive, and more_x000D_
Load Avro, Parquet, or ORC files from HDFS, S3, or Azure_x000D_
Access and retrieve data from sources such as Twitter, AWS S3, Google Sheets, and Azure and extended via pandas</t>
  </si>
  <si>
    <t xml:space="preserve">Python module for exploratory data analysis (EDA)_x000D_
_x000D_
Generates profile reports from a pandas DataFrame. The pandas df.describe() function is great but a little basic for serious exploratory data analysis. pandas_profiling extends the pandas DataFrame with df.profile_report() for quick data analysis._x000D_
_x000D_
FEATURES:_x000D_
-Type inference: detect the types of columns in a dataframe._x000D_
-Essentials: type, unique values, missing values_x000D_
-Quantile statistics like minimum value, Q1, median, Q3, maximum, range, interquartile range_x000D_
-Descriptive statistics like mean, mode, standard deviation, sum, median absolute deviation, coefficient of variation, kurtosis, skewness_x000D_
-Most frequent values_x000D_
-Histogram_x000D_
-Correlations highlighting of highly correlated variables, Spearman, Pearson and Kendall matrices_x000D_
-Missing values matrix, count, heatmap and dendrogram of missing values_x000D_
-Text analysis learn about categories (Uppercase, Space), scripts (Latin, Cyrillic) and blocks (ASCII) of text data._x000D_
_x000D_
DATA SOURCES / FILE FORMATS:_x000D_
Text: - CSV, fixed-width test files, JSON, HTML, Clipboard, Excel_x000D_
Binary: OpenDocument, HDF5 Format, Feather Format, Parqeuet Format, ORC Format, Msgpak, Stata, SAS, SPSS, Python Pickle Format_x000D_
SQL, Google BigQuery_x000D_
</t>
  </si>
  <si>
    <t>Data visualization, machine learning, data profiling and mining toolkit_x000D_
_x000D_
Open source machine learning and data visualization for novice and expert. Interactive data analysis workflows with a large toolbox. Orange consists of a canvas interface onto which the user places widgets and creates a data analysis workflow. Widgets offer basic functionalities such as reading the data, showing a data table, selecting features, training predictors, comparing learning algorithms, visualizing data elements, etc. The user can interactively explore visualizations or feed the selected subset into other widgets._x000D_
_x000D_
Data mining is done through visual programming or Python scripting.  Python scrips can run in a terminal window, integrated environments ly PyCharm and PythonWin, or shells like iPython._x000D_
_x000D_
The tool has components for machine learning, add-ons for bioinformatics and text mining and it is packed with features for data analytics._x000D_
_x000D_
Orange consists of a canvas interface onto which the user places widgets and creates a data analysis workflow.  Widgets off basic functionalities such as reading the data, showing a data table, selecting features, training predictors, comparing learning algorithms, visualizing data elements, etc.  The user can interactively explore visualizations or feed the selected subset into other widgets._x000D_
In Orange, data analysis process can be designed through visual programming.  Orange remembers the choices, suggests most frequently used combinations.  Orange has features for different visualization, such as scatterplots, bar charts, trees, to dendorograms, networks and heatmaps.   There are over 100 widgets for standard data analysis and specialized add-ons for Bioorange for bioinformatics._x000D_
_x000D_
Core Orange supports Excel, comma- and tab-delimited files (.xlsx, .csv, .tab). It also reads online data, such as Google Spreadsheets. SQL widget supports PostgreSQL and MSSQL databases. Add-ons can load additional formats. For example, Orange3-ImageAnalytics add-on can import images (.jpg, .tiff, .png) and Orange3-Text add-on can import text files (.txt, .docx, .pdf)._x000D_
_x000D_
FEATURES_x000D_
Canvas: graphical front-end for data analysis	_x000D_
Widgets:	_x000D_
Data: widgets for data input, data filtering, sampling, imputation, feature manipulation and feature selection	_x000D_
Visualize: widgets for common visualization (box plot, histograms, scatter plot) and multivariate visualization (mosaic display, sieve diagram).	_x000D_
Classify: a set of supervised machine learning algorithms for classification	_x000D_
Regression: a set of supervised machine learning algorithms for regression	_x000D_
Evaluate: cross-validation, sampling-based procedures, reliability estimation and scoring of prediction methods	_x000D_
Unsupervised: unsupervised learning algorithms for clustering (k-means, hierarchical clustering) and data projection techniques (multidimensional scaling, principal component analysis, correspondence analysis).	_x000D_
Add-ons:	_x000D_
Associate: widgets for mining frequent itemsets and association rule learning	_x000D_
Bioinformatics: widgets for gene set analysis, enrichment, and access to pathway libraries	_x000D_
Data fusion: widgets for fusing different data sets, collective matrix factorization, and exploration of latent factors	_x000D_
Educational: widgets for teaching machine learning concepts, such as k-means clustering, polynomial regression, stochastic gradient descent	_x000D_
Geo: widgets for working with geospatial data	_x000D_
Image analytics: widgets for working with images and ImageNet embeddings	_x000D_
Network: widgets for graph and network analysis	_x000D_
Text mining: widgets for natural language processing and text mining	_x000D_
Time series: widgets for time series analysis and modeling	_x000D_
Spectroscopy: widgets for analyzing and visualization of (hyper)spectral datasets_x000D_
_x000D_
DATA SOURCES / FILE FORMATS:_x000D_
Excel (.xlsx), simple tab-delimited (.txt), comma-separated files (.csv) or Google Sheets document_x000D_
distance matrix: Distance File_x000D_
predictive model: Load Model_x000D_
network: Network File from Network add-on_x000D_
images: Import Images from Image Analytics add-on_x000D_
several spectroscopy files: Multifile from Spectroscopy add-on_x000D_
PostgreSQL, SQL, online repository, and extended via pandas</t>
  </si>
  <si>
    <t xml:space="preserve">Machine learning software to solve data mining problems_x000D_
_x000D_
Weka is a collection of machine learning algorithms for solving real-world data mining problems. It is written in Java and runs on almost any platform. The algorithms can either be applied directly to a dataset or called from your own Java code._x000D_
It incorporates representation and prescient investigation and displaying strategies, grouping, afiliation, relapse and order._x000D_
Weka is tried and tested open source machine learning software that can be accessed through a graphical user interface, standard terminal applications, or a Java API. It is widely used for teaching, research, and industrial applications, contains a plethora of built-in tools for standard machine learning tasks, and additionally gives transparent access to well-known toolboxes such as scikit-learn, R, and Deeplearning4j._x000D_
_x000D_
Weka contains a collection of visualization tools and algorithms for data analysis and predictive modeling, together with graphical user interfaces for easy access to these functions._x000D_
_x000D_
Weka supports several standard data mining tasks, more specifically, data preprocessing, clustering, classification, regression, visualization, and feature selection. All of Weka's techniques are predicated on the assumption that the data is available as one flat file or relation, where each data point is described by a fixed number of attributes (normally, numeric or nominal attributes, but some other attribute types are also supported). Weka provides access to SQL databases using Java Database Connectivity and can process the result returned by a database query. _x000D_
_x000D_
Weka is not capable of multi-relational data mining, but there is separate software for converting a collection of linked database tables into a single table suitable for processing using Weka. Another important area that is currently not covered by the algorithms included in the Weka distribution is sequence modeling._x000D_
_x000D_
FEATURES:_x000D_
machine learning	_x000D_
data mining	_x000D_
preprocessing	_x000D_
classification	_x000D_
regression	_x000D_
clustering	_x000D_
association rules	_x000D_
attribute selection	_x000D_
experiments	_x000D_
visualization	_x000D_
workflow	_x000D_
_x000D_
DATA SOURCES / FILE FORMATS:_x000D_
Arff, JSON, CSV, xrff, dat, data, names, and more_x000D_
Database using ODBC_x000D_
</t>
  </si>
  <si>
    <t>Pseudonymizes datasets_x000D_
_x000D_
Anonimatron is a tool that pseudonymizes datasets and that can be used to generate pseudonymized production data to find a bug or do performance tests outside of the client’s production environment._x000D_
With release of the GDPR, a feature was added that enables the anonymization of files. You can configure a column to be anonymized without storing the generated synonyms for later runs._x000D_
_x000D_
FEATURES:_x000D_
Anonymize data in databases and files._x000D_
Generates fake email addresses, fake Roman names, and UUID’s out of the box._x000D_
Easy to configure, automatically generates example config file._x000D_
Anonymized data is consistent between runs. No need to re-write your tests to handle random data._x000D_
Extendable, easily implement and add your own anonymization handlers_x000D_
Multi database, uses SQL92 standards and supports Oracle, PostgreSQL and MySQL out of the box. Anonimatron will autodetect the following JDBC drivers: DB2, MsSQL, Cloudscape, Pointbase, Firebird, IDS, Informix, Enhydra, Interbase, Hypersonic, jTurbo, SQLServer and Sybase._x000D_
_x000D_
DATA SOURCES / FILE FORMATS:_x000D_
Oracle, PostgreSQL, MySQL, DB2, MsSQL, Cloudscape, Pointbase, Firebird, IDS, Informix, Enhydra, Interbase, Hypersonic, jTurbo, SQLServer and Sybase</t>
  </si>
  <si>
    <t xml:space="preserve">Scalable Data Anonymization Tool - supports multiple privacy models_x000D_
_x000D_
ARX is a comprehensive open source software for anonymizing sensitive personal data. It supports a wide variety of (1) privacy and risk models, (2) methods for transforming data and (3) methods for analyzing the usefulness of output data. It supports various anonymization techniques, methods for analyzing data quality and re-identification risks and it supports well-known privacy models, such as k-anonymity, l-diversity, t-closeness and differential privacy._x000D_
ARX is an open source tool for transforming structured (i.e. tabular) personal data using selected methods from the broad areas of data anonymization and statistical disclosure control. It supports transforming datasets in ways that make sure that they adhere to user-specified privacy models and risk thresholds that mitigate attacks that may lead to privacy breaches. ARX can be used to remove direct identifiers (e.g. names) from datasets and to enforce further constraints on indirect identifiers. Indirect identifiers (or quasi-identifiers, or keys) are attributes that do not directly identify an individual but may together with other indirect identifiers form an identifier that can be used for linkage attacks. It is typically assumed that information about indirect identifiers is available to the attacker (in some form of background knowledge) and that they cannot simply be removed from the dataset (e.g. because they are required later for analyses). ARX also supports methods for protecting sensitive attributes from disclosure and semantic privacy models, which require fewer assumptions to be made about the goals and the background knowledge of attackers._x000D_
The software has been used in a variety of contexts, including commercial big data analytics platforms, research projects, clinical trial data sharing and for training purposes._x000D_
ARX is able to handle large datasets on commodity hardware and it features an intuitive cross-platform graphical user interface. _x000D_
ARX is also available as a comprehensive software library with a clean API that delivers data anonymization capabilities to any Java program._x000D_
ARX provides compatibility with SQL databases, MS Excel and CSV files. Moreover, it supports data cleansing and can handle incomplete and dirty data._x000D_
_x000D_
DATA SOURCES / FILE FORMATS:_x000D_
CSV files, MS Excel spreadsheets _x000D_
Relational database systems, such as MS SQL, DB2, MySQL or PostgreSQL_x000D_
</t>
  </si>
  <si>
    <t xml:space="preserve">Tool to help prepare for ETLs of healthcare datasets_x000D_
_x000D_
WhiteRabbit is a small application that can be used to analyze the structure and contents of a database as preparation for designing an ETL. It comes with RabbitInAHat, an application for interactive design of an ETL to the OMOP Common Data Model with the help of the scan report generated by White Rabbit. WhiteRabbit’s main function is to perform a scan of the source data, providing detailed information on the tables, fields, and values that appear in a field. This scan will generate a report that can be used as a reference when designing the ETL, for instance by using the Rabbit-In-a-Hat tool. White Rabbit differs from standard data profiling tools in that it attempts to prevent the display of personally identifiable information (PII) data values in the generated output data file._x000D_
_x000D_
FEATURES:_x000D_
Can scan databases in SQL Server, Oracle, PostgreSQL, MySQL, MS Access, Amazon RedShift, Google BigQuery, SAS files and CSV files	_x000D_
The scan report contains information on tables, fields, and frequency distributions of values - this is a single Excel File_x000D_
Cutoff on the minimum frequency of values to protect patient privacy	_x000D_
WhiteRabbit can be run with a graphical user interface or from the command prompt	_x000D_
Interactive tool (Rabbit in a Hat) for designing the ETL using the scan report as basis	_x000D_
Rabbit in a Hat generates ETL specification document according to OMOP template	_x000D_
_x000D_
DATA SOURCES / FILE FORMATS:_x000D_
comma-separated text files_x000D_
MySQL, SQL Server, Oracle, PostgreSQL, Microsoft APS, Microsoft Access, Amazon RedShift, Google BigQuery_x000D_
</t>
  </si>
  <si>
    <t xml:space="preserve">Data profiling and analysis tool - User Ratings: 4.8/5_x000D_
Also known as Open Source Data Quality and Profiling.  Features Mysql, Oracle,Postgres,Access,Db2,SQL Server certified Big data support - HIVE Format Creation, Format Matching ( Phone, Date, String and Number), Format standardization Fuzzy Logic based similarity check, Cardinailty check between tables and files Export and import from XML, XLS or CSV format, PDF export File Analysis, Regex search, Standardization, DB search Complete DB Scan, SQL interface, Data Dictionary, Schema Comparison Statistical Analysis, Reporting ( dimension and measure based), Ad Hoc reports and Analytics Pattern Matching , DeDuplication, Case matching, Basket Analysis, Distribution Chart Data generation and Data masking features Meta Data Information, Reverse engineering of Data Model Timeliness analysis , String length analysis Address Correction, Single View of Customer, Product, Golden merge for records Record Match, Linkage and Merge added based on fuzzy logic_x000D_
_x000D_
Features:_x000D_
-Data profiling, filtering, and governance_x000D_
-Similarity checks_x000D_
-Data enrichment_x000D_
-Real time alerting for data issues or changes_x000D_
-Basket analysis with bubble chart validation_x000D_
-Single customer view_x000D_
-Dummy data creation_x000D_
-Metadata discovery_x000D_
-Anomaly discovery and data cleansing tool_x000D_
-Hadoop integration_x000D_
_x000D_
DATA SOURCES / FILE FORMATS:_x000D_
 XML, XLS or CSV format, PDF export_x000D_
Teiid, Mysql, Oracle, Postgres, Access, Db2, SQL Server certified Big data support - HIVE_x000D_
</t>
  </si>
  <si>
    <t xml:space="preserve">LIMITED FREE VERSION_x000D_
Data integration and ETL_x000D_
_x000D_
Free; prices for supported version not provided_x000D_
Talend Open Studio for Data Integration is a free-to-download software to kickstart your first data integration and ETL projects._x000D_
Talend Open Studio for Data Integration is the company's open source solution for ETL. It features an Eclipse-based development environment that will be familiar to developers, ELT and ETL support, versioning, and a long list of connectors. Additional features are available through the company's other open source projects, including Data Streams Free Edition, Open Studio for Big Data, Open Studio for Data Quality, Open Studio for ESB and Open Studio for MDM._x000D_
_x000D_
The company also offers a commercial solution called Talend Data Management Platform that is based on the same code. It adds rich development tools, an administration center, monitoring console, data preparation, data quality, high availability and other features, as well as paid support. _x000D_
_x000D_
More than 900 pre-built connectors and components for Oracle, Teradata, Microsoft SQL server, Marketo, Salesforce, NetSuite, SAP, Microsoft Dynamics, Sugar CRM, Dropbox, Box, SMTP, FTP/SFTP, LDAP, and more_x000D_
_x000D_
Key Capabilities_x000D_
-ETL and ELT support_x000D_
-Eclipse-based development tooling_x000D_
-Versioning_x000D_
-Large library of connectors_x000D_
-Data flow orchestration_x000D_
-File management without scripting_x000D_
-Data transformations_x000D_
_x000D_
DATA SOURCES / FILE FORMATS:_x000D_
More than 900 pre-built connectors and components for Oracle, Teradata, Microsoft SQL server, Marketo, Salesforce, NetSuite, SAP, Microsoft Dynamics, Sugar CRM, Dropbox, Box, SMTP, FTP/SFTP, LDAP, and more_x000D_
</t>
  </si>
  <si>
    <t>(LIMITED FREE VERSION_x000D_
_x000D_
Simplify ETL for large and diverse data sets. _x000D_
_x000D_
-Upload to and extract big data from Hadoop HDFS, HBase, Hive, and NoSQL databases_x000D_
-Develop data jobs that use Pig, HiveQL, MapReduce, and Sqoop_x000D_
-Deploy and setup scheduling jobs with Apache Oozie_x000D_
-Work with all the major Hadoop distributions including: Apache Hadoop, Cloudera CDH, Hortonworks Data Platform, MapR, and Greenplum_x000D_
_x000D_
Hadoop and NoSQL with free open source ETL &amp; ELT software for big data integration and transformation. Drag, drop, and configure pre-built components, generate native code, and deploy to Hadoop for simple EDW offloading and ingestion, loading, and unloading data into a data lake on-premises or any cloud platform. The visual development tool enables you to develop, maintain, and reuse jobs and take advantage of the massively parallel environment of Hadoop and NoSQL without learning new languages. Open Studio for Big Data is fully open source, so you can see the code and work with it. Embed existing Java code libraries, create your own components or leverage community components and code to extend your project. As an active contributor to Apache projects with millions of downloads and a full range of open source integration software tools, Talend is an open source leader in cloud and big data integration._x000D_
_x000D_
Design and Productivity Tools_x000D_
_x000D_
-Hadoop job scheduler with YARN_x000D_
-Hadoop security for Kerberos_x000D_
-Ingestion, loading, and unloading data into a data lake_x000D_
-Graphical design environment_x000D_
-ETL and ELT support_x000D_
-Versioning_x000D_
-Connectors_x000D_
_x000D_
Cloud: Amazon Web Services (AWS), Microsoft Azure, Google Cloud Platform, and more_x000D_
RDBMS: Oracle, Teradata, Microsoft SQL server, and more_x000D_
SaaS: Marketo, Salesforce, NetSuite, and more_x000D_
Packaged Apps: SAP, Microsoft Dynamics, Sugar CRM, and more_x000D_
Technologies: Dropbox, Box, SMTP, FTP/SFTP, LDAP, and more_x000D_
Components_x000D_
_x000D_
Hadoop components: HDFS, Hbase, Hive, Pig, Sqoop_x000D_
File management: open, move, compress, decompress without scripting_x000D_
Control and orchestrate data flows and data integrations with master jobs_x000D_
Map, aggregate, sort, enrich, and merge data</t>
  </si>
  <si>
    <t>LIMITED FREE VERSION_x000D_
https://www.talend.com/products/pricing-model/_x000D_
_x000D_
Talend Open Studio for Data Quality and Talend Data Preparation Free Desktop.  Do simple cleansing, data manipulation, standardization and enrichment._x000D_
_x000D_
Datasets can be a local or remote file that can be imported into the Talend Data Preparation tool (or from a database connection or other data sources, although not in the context of the Free Desktop version). A dataset is used as raw material for one or more preparations._x000D_
_x000D_
Create clean and valuable data in minutes with Single point of access across data sources, Interactive discovery, cleansing and formatting and Automation and reuse data preparation tasks.  Auto-discover and browse your data._x000D_
_x000D_
Import, export, and combine data from any database, Excel or CSV file, Export to Tableau, Auto-discovery, standardization, auto-profiling, smart suggestions, and data visualization, Cleansing and enrichment functions_x000D_
_x000D_
Features:_x000D_
- Import data_x000D_
- Data standardization _x000D_
- Basic formatting and cleansing _x000D_
- Ability to add data cleaning recipes for reuse.  Multiple preparations can be saved and created for a single dataset_x000D_
- Semantic type.  Talend Data Preparation automatically suggests the proper semantic type for each column of your datasets._x000D_
- Data quality bar - under each column is a color coded data quality bar that displays the aount of fields tha have correct data, empty fields, or incorrect data_x000D_
- Basic text manipulation - clean and change values in a field with invalid values_x000D_
- Basic numeric manipulation - clean and change outliers in a numeric field.  _x000D_
- Data masking - mask sensitive data_x000D_
- Data blending - connect data from different sources.  Take data from a preloaded dataset and add to a dataset you are working on_x000D_
- Group and standardize - find cells that have similar content and group them together by changes the text to match_x000D_
_x000D_
Design and Productivity Tools_x000D_
_x000D_
Eclipse-based tooling_x000D_
Customizable assessment_x000D_
Pattern library_x000D_
Data Quality and Governance_x000D_
_x000D_
Data profiling and analytics with graphical charts and drilldown data_x000D_
Advanced Data Profiling_x000D_
_x000D_
Fraud pattern detection using Benford Law_x000D_
Advanced statistics with indicator thresholds_x000D_
Column set analysis_x000D_
Advanced matching analysis_x000D_
Time column correlation analysis_x000D_
_x000D_
DATA SOURCES / FILE FORMATS_x000D_
More than 900 pre-built connectors and components for Oracle, Teradata, Microsoft SQL server, Marketo, Salesforce, NetSuite, SAP, Microsoft Dynamics, Sugar CRM, Dropbox, Box, SMTP, FTP/SFTP, LDAP, and more</t>
  </si>
  <si>
    <t>LIMITED FREE VERSION_x000D_
_x000D_
Talend Open Studio for Enterprise Service Bus (ESB) is free-to-download software that easily service-enables and integrates applications and legacy systems.  Talend ESB is a versatile and flexible ESB that allows organizations to address diverse integration challenges. It supports a broad set of standard transports and protocols, as well as enterprise integration patterns (EIPs), a common set of best practice descriptions developed to design effective messaging solutions. Available in several packages, Talend ESB is open and standards-based to allow wide interoperability with existing and legacy infrastructure components._x000D_
_x000D_
Leveraging Apache CXF, Apache Camel and Apache ActiveMQ open source integration projects, Talend ESB makes enterprise-class integration accessible by delivering a cost-effective and easy-to-use way to integrate and expand systems and applications._x000D_
_x000D_
-Design and Productivity Tools_x000D_
--Graphical design environment_x000D_
--Versioning_x000D_
_x000D_
-Agile Application Integration_x000D_
--Drag-and-drop route, data, and web/REST services creation and simulation_x000D_
--Deliver and route messages and events based on Enterprise Integration Patterns (EIPs)_x000D_
--Reliable messaging backbone based on ActiveMQ_x000D_
--Command line and scripting tools_x000D_
_x000D_
-Connectors_x000D_
--Cloud: Amazon Web Services (AWS), Microsoft Azure, Google Cloud Platform, and more_x000D_
--RDBMS: Oracle, Teradata, Microsoft SQL server, and more_x000D_
--SaaS: Marketo, Salesforce, NetSuite, and more_x000D_
--Packaged Apps: SAP, Microsoft Dynamics, Sugar CRM, and more_x000D_
--Technologies: Dropbox, Box, SMTP, FTP/SFTP, LDAP, and more_x000D_
_x000D_
-Components_x000D_
--Standard support: REST, SOAP, OpenID Connect, OAuth, SAML, WSDL, SWAGGER(tm), and more_x000D_
--Transports/protocols support: HTTP, JMS, MQTT, AMQP, UDP, Apache Kafka, WebSphere MQ, and more_x000D_
--Enterprise Integration Patterns for service mediation, routing, and messaging_x000D_
_x000D_
-Services Management_x000D_
--System monitoring: JMX / Jolokia_x000D_
--Access into live statistics of message flow activity</t>
  </si>
  <si>
    <t xml:space="preserve">LIMITED FREE VERSION_x000D_
_x000D_
Talend Open Studio for MDM provides the key capabilities for data governance, which enable users to build data models employing the necessary business and data rules to create one single copy of the master data to be propagated back to the source and target systems._x000D_
Build a strong foundation for your MDM project with free open source master data management software._x000D_
Profile data from customers, suppliers, assets, employers and beyond. Create models to search and browse profiled data, so everyone can create and update master data through a web-based application. Generate a single “version of the truth” for data across your organization._x000D_
Expand your open source stack with Open Studio for ESB and pass updates to MDM to be disseminated out to connected systems._x000D_
As an active contributor to Apache projects with millions of downloads and a full range of robust, open source integration software tools, Talend is an open source leader in cloud and big data integration._x000D_
_x000D_
FEATURES:_x000D_
-Design &amp; productivity tools: Eclipse-based developer tooling and job designer, export and execute standalone jobs in runtime environments._x000D_
-MDM web application with master data repository, a fully functional MDM environment, and model-drive UI._x000D_
-Connectors for AWS, Microsoft Azure, Google Cloud Platform, and more. Plus SaaS, packaged apps, and web services._x000D_
-Components for data flow control with master jobs for basic matching and grouping of entity, and to map, aggregate, sort, enrich, and merge data._x000D_
_x000D_
Open Studio for ESB, sourceforge.net/projects/talendesb/_x000D_
Data Quality &amp; Profiling, sourceforge.net/projects/talendprofiler/_x000D_
Data Preparation, sourceforge.net/projects/talend-data-preparation_x000D_
_x000D_
DATA SOURCE / FILE FORMATS:_x000D_
AWS, Microsoft Azure, Google Cloud Platform, and more. Plus, SaaS, packaged apps, and web services_x000D_
</t>
  </si>
  <si>
    <t>OpenRefine (previously Google Refine) is a powerful tool for working with messy data: cleaning it; transforming it from one format into another; and extending it with web services and external data._x000D_
_x000D_
Tool for cleaning and transforming data_x000D_
_x000D_
OpenRefine keeps your data private on your own computer by running a small server on your computer and you use your web browser to interact with it. OpenRefine is available in more than 15 languages. OpenRefine is part of Code for Science &amp; Society._x000D_
_x000D_
File formats supported by Open refine includes TSV, CSV, *SV, .xls, .xlsx, JSON, XML,RDF as XML and google documents_x000D_
_x000D_
Features:_x000D_
-Data exploration_x000D_
-Data cleaning and filtering_x000D_
-Data transformation_x000D_
-Data format conversion_x000D_
-Data extension_x000D_
-Data linking_x000D_
-Data import_x000D_
-Cell transformations_x000D_
-Dataset linking_x000D_
-Data partition_x000D_
-Name-entity operation_x000D_
-Advanced data operations_x000D_
-General Refine Expression Language_x000D_
-Data reconciliation and matching</t>
  </si>
  <si>
    <t xml:space="preserve">DataPreparator is a free software tool designed to assist with common tasks of  data preparation (or data preprocessing) in data analysis and data mining. _x000D_
_x000D_
DataPreparator provides:_x000D_
_x000D_
-A variety of techniques for data cleaning, transformation, and exploration_x000D_
-Chaining of preprocessing operators into a flow graph (operator tree)_x000D_
-Handling of large volumes of data (since data sets are not stored in the computer memory)_x000D_
-Stand alone tool independent of any other tools_x000D_
-User friendly graphical user interface_x000D_
_x000D_
DataPreparator can assist you with exploring and preparing data in various ways prior to data analysis or data mining. It includes operators for cleaning, discretization, numeration, scaling, attribute selection, missing values, outliers, statistics, visualization, balancing, sampling, row selection, and several other tasks. See Features for details._x000D_
_x000D_
FEATURES:_x000D_
-Data Cleaning: - Data cleaning facilities include character removal, text replacement, and date conversion._x000D_
-Data Import/Export: - DataPreparator can be used to import data from a database and export them to a file and vice versa. _x000D_
-Data Integration: - Two operators, Append and Merge, can be used to combine data from different data sources._x000D_
-Data Reduction: - Data reduction can be achieved using sampling and record selection._x000D_
-Data Transformation: - DataPreparator can be used to preprocess data for data mining. It transforms training data using a series of transformations and in the process creates a model which can be used to transform corresponding test/execution data. DataPreparator provides many operators for transforming data. _x000D_
-Data Visualization: - Data visualization can be performed using a variety of statistical plots._x000D_
_x000D_
DATA SOURCE / FILE FORMATS:_x000D_
JDBC, XLS_x000D_
ARFF, DATA, CSV or plain text file format_x000D_
</t>
  </si>
  <si>
    <t xml:space="preserve">(LIMITED) Community Edition is free, otherwise you need a subscription. _x000D_
Open source data quality tool data profiling, data cleaning, and data integration.  DataCleaner is a Data Quality toolkit that allows you to profile, correct and enrich your data. People use it for ad-hoc analysis, recurring cleansing as well as a swiss-army knife in matching and Master Data Management solutions._x000D_
_x000D_
DataCleaner is a strong data profiling engine for discovering and analyzing the quality of user's data.  It is built to handle data both big and small from CSV files, Excel spreadsheets to RDBMs and NoSQL databases.  User can build their own cleansing rules and compose them into several use scenarios or target databases whether it is simple search/replace rules, regular expressions, and pattern matching or completely custom transformations._x000D_
_x000D_
DataCleaner's Monitoring establishes the starting point and goals, and to ensure a process of following up on data quality issues.  The monitoring server of DataCleaner enables users to make point-in-time profiles of users' data, and to schedule periodic data quality checks and receive notifications if quality KPIs get out of control._x000D_
_x000D_
DataCleaner's Data Quality Eco-System delivers out-of-the-box functionality, and application extensions, integrations and shared content._x000D_
_x000D_
DataCleaner's Duplicate detection feature, builds on Machine Learning principles for eacse of configuraiton and impreoved inferential matchine_x000D_
_x000D_
DataCleaner offers integrations with the Pentaho open source business intelligence suite_x000D_
_x000D_
DATA SOURCES / FILE FORMATS:_x000D_
CSV files, Excel spreadsheets_x000D_
JDBC, MySQL, PostrgreSQL, SQL Server_x000D_
Salesforce, SugarCRM_x000D_
</t>
  </si>
  <si>
    <t>30-day trial _x000D_
_x000D_
(Part of Data Ladder)_x000D_
DataMatch Enterprise™ solution is a highly visual data cleansing application specifically designed to resolve customer and contact data quality issues. The platform leverages multiple proprietary and standard algorithms to identify phonetic, fuzzy, miskeyed, abbreviated, and domain-specific variations. Build scalable configurations for deduplication &amp; record linkage, suppression, enhancement, extraction, and standardization of business and customer data and create a Single Source of Truth to maximize the impact of your data across the enterprise._x000D_
_x000D_
_x000D_
FEATURES:_x000D_
- Data Deduplication_x000D_
- Match and Merge_x000D_
_x000D_
DATA SOURCES / FILE FORMATS:_x000D_
Access, Apache HBase, Dynamics CRM, Email, Excel, Facebook, JSON, MongoDB, MySQL, Salesforce, SugarCRM, Twitter, XML</t>
  </si>
  <si>
    <t>30 Day Free Trial_x000D_
Standard - $349_x000D_
Professional - $995_x000D_
_x000D_
Datamartist is a low cost flexible, visual, data profiling and data transformation tool. It can read data from data sources (such as files, or relational databases), do data transformations using a simple, visual user interface, and then can write the results into files or databases. By combining a flexible ETL tool with data profiling capabilities, Datamartist is a fast and easy way to both do ad-hoc data profiling, and to set up automated data quality monitoring._x000D_
For a wide range of data transformation requirements, Datamartist is the only tool required, giving a fast and flexible ETL capability to pull all sorts of data from all sorts of sources._x000D_
_x000D_
-Profile your data_x000D_
-Find Data Quality Issues_x000D_
-Excel Import and Export_x000D_
_x000D_
FEATURES:_x000D_
-Data profiling and transformation (Standard)	 	 _x000D_
--Import data from Excel, Text files and databases_x000D_
--Transform data using a visual data canvas with blocks_x000D_
--Profile data visually with drill down_x000D_
--Output data to Excel, Text files and databases_x000D_
-Advanced data profiling functionality (Pro)_x000D_
--Automated Data Profiling and tracking with the data profiler block enables data quality metric tracking_x000D_
--Regular expressions for powerful string parsing available in all expressions, filters and segmentation rule sets_x000D_
--Data format profiling rule editing expands the ability to analyze string columns easily_x000D_
--Value distribution analysis with graphical zoom, and drill down to explore numerical values_x000D_
-Data mart blocks for star schema creation (Pro)_x000D_
--Reference block to create unique keys and meta data_x000D_
--De-duplication block to map duplicates to master records_x000D_
--Visual hierarchy editor with drag and drop to build alternate drill down paths_x000D_
_x000D_
DATA SOURCES / FILE FORMATS:_x000D_
SQL Server, Oracle, MySQL, ODBC, MS Access, Excel Spreadsheets, Delimited text files including CSV data</t>
  </si>
  <si>
    <t>Pentaho Community Edition is free -  LIMITED)_x000D_
_x000D_
Works with WEKA (Data Profiling)_x000D_
_x000D_
Data Integation - Extract, transform and load (ETL) limited data sets and create visualizations with Pentaho’s report designer tool._x000D_
The term, K.E.T.T.L.E is a recursive that stands for Kettle Extraction Transformation Transport Load Environment.  Pentaho Data Integration is well known for its ease of use and quick learning curve. PDI implements a metadata-driven approach which means that the development is based on specifying what to do, not how to do it. Pentaho lets administrators and ETL developers create their own data manipulation jobs with a user-friendly graphical creator, and without entering a single line of code. _x000D_
PDI uses a common, shared repository which enables remote ETL execution, facilitates teamwork, and simplifies the development process._x000D_
_x000D_
FEATURES:_x000D_
ETL_x000D_
_x000D_
DATA SOURCES / FILE FORMATS:_x000D_
Oracle, PostgreSQL, Redshift, SAP, SQLite, SparkSQL, Sybase, Teradata, UniVerse, Verica, Cloudera Impala, Hypersonic, H2 and more</t>
  </si>
  <si>
    <t>Community (Free Use - LIMITED), Pro and Enterprise (Paid Version)_x000D_
_x000D_
SQL Power Architect data modeling tool has many unique features geared specifically for the data warehouse architect. It is a powerful database utility that not only builds diagrams of databases, but also provides data dictionary language output, which can be used to build database solutions._x000D_
_x000D_
_x000D_
Connects to multiple source databases concurrently, Compares data models &amp; database structures and identifies discrepancies, Generates source-to-target visual Mapping Reports, Forward/reverse engineers PostgreSQL, Oracle, MS SQL Server &amp; more._x000D_
_x000D_
DATA SOURCES / FILE FORMATS:_x000D_
JDBC, PostgreSQL, SQL, MySQL, HSSQLDB, Oracle, DB2, HSQLDB, SQLstream, H2, Derby</t>
  </si>
  <si>
    <t xml:space="preserve">Community Edition alone is Free - LIMITED_x000D_
SQL Power DQguru has a limited feature set._x000D_
Data Cleansing &amp; MDM Tool - DQguru by SQL Power is a specialized and powerful tool that can help you deduplicate reference data. DQguru is a good tool for advanced end-users who don't want or need to be messing around with complicated SQL (or regular expressions, for that matter) to perform common data cleansing tasks._x000D_
_x000D_
The SQL Power DQguru helps you cleanse your data, validate and correct addresses, identify and remove duplicates, and build cross-references between source and target tables. This provides business users with complete and accurate data, and a single 360-degree view of all business entities, such as customer, product, representative, employee, supplier or business unit._x000D_
_x000D_
FEATURES:_x000D_
1.  Intuitive GUI allows for quick adoption and use by data analysts_x000D_
2.  Intuitive 'transform' process interface allows you to rapidly build and deploy data conversion work flows_x000D_
3.  Users can define their own data matching criteria_x000D_
4.  Duplicate verification via SQL Power's innovative interface_x000D_
5.  Merge duplicates and their related data_x000D_
6.  Can be used for initial or periodic data clean-up_x000D_
7.  Generates cross reference tables to link source system identifiers to target database identifiers_x000D_
8.  Extensive support for transformation and matching functions:_x000D_
8.1 Concatenation_x000D_
8.2 Double Metaphone, Metaphone, Refined Soundex, Soundex phonetic coding_x000D_
8.3 Alphabet case conversion_x000D_
8.4 String substitution_x000D_
8.5 Substring and substring by word_x000D_
8.6 Word substitution through the translation of words or groups of words_x000D_
8.7 Merge rules for column, table and related table merges_x000D_
9. Varying levels of data transformation are also supported to help manage the development and execution of data cleansing processes:_x000D_
9.1 The Match Engine identifies duplicates, storing the results in a target table, without modifying the source data_x000D_
9.2 The Merge Engine removes duplicate records from your source data according to the rules you have defined_x000D_
9.3 The Cleansing Engine replaces records in your source data with reformatted data as per your rules_x000D_
_x000D_
DATA SOURCES / FILE FORMATS:_x000D_
JDBC, Oracle, Postgress, MySQL, Sybase and more_x000D_
</t>
  </si>
  <si>
    <t xml:space="preserve">Community Edition alone is Free - LIMITED_x000D_
_x000D_
DQ Analyzer is a powerful and market-popular desktop application for advanced data profiling. It reveals the contents of your data in minutes and easily integrates with more advanced Ataccama ONE modules. While DQ Analyzer uncovers problems with your data, other Ataccama ONE modules will further help you transform, standardize, cleanse, validate, correct and enrich your data._x000D_
_x000D_
Data Profiling_x000D_
Discover, analyze, and understand critical patterns in your data. Visualize the frequency, domain, and mask analysis of values, uncover complex dependencies between data attributes, and test relationships between entities. An accurate picture of your data is just one profile away._x000D_
_x000D_
FEATURES:_x000D_
JDBC Reader: Reads data directly from a database such as Oracle, MS SQL, Sybase, etc._x000D_
Regex Matching: Allows flexible parsing and matching using regular expressions_x000D_
Text File Reader: Reads data from a delimited text file, such as CSV_x000D_
Fixed-Width File Reader: Reads data from a text file with fixed width columns_x000D_
Condition: Splits the data stream based on a condition_x000D_
Union Same: Combines data streams that have the same format_x000D_
Column Assigner: A powerful and robust business-rules engine that allows the use of complex expressions_x000D_
Profiling: Flexible, fully configurable data profiler_x000D_
_x000D_
DATA SOURCES / FILE FORMATS:_x000D_
Oracle, MS SQL, DB2, Sybase, Teradata, MySQL, Apache Derby, PostgreSQL_x000D_
CSV, TXT, and XLS(X) _x000D_
</t>
  </si>
  <si>
    <t>Cytoscape is an open source software platform for visualizing molecular interaction networks and biological pathways and integrating these networks with annotations, gene expression profiles and other state data. Although Cytoscape was originally designed for biological research, now it is a general platform for complex network analysis and visualization._x000D_
_x000D_
Cytoscape core distribution provides a basic set of features for data integration, analysis, and visualization.   _x000D_
Additional features are available as Apps (formerly called Plugins)_x000D_
_x000D_
DATA SOURCES / FILE FORMATS:_x000D_
Simple interaction file (SIF or .sif format), Graph Markup Language (GML or .gml format), XGMML (extensible graph markup and modelling language), SBML, BioPAX, PSI-MI Level 1 and 2.5, Delimited text, Excel Workbook (.xls)</t>
  </si>
  <si>
    <t>The goal of pyxplorer is to provide a simple tool that allows interactive profiling of datasets that are accessible via a SQL like interface. The only requirement to run data profiling is that you are able to provide a Python DBAPI like interface to your data source and the data source is able to understand simplistic SQL queries._x000D_
_x000D_
Supported Features:_x000D_
-Column Count (Database / Table)_x000D_
-Table Count_x000D_
-Tuple Count (Database / Table)_x000D_
-Min / Max_x000D_
-Most Frequent / Least Frequent_x000D_
-Top-K Most Frequent / Top-K Least Frequent_x000D_
-Top-K Value Distribution (Database / Table )_x000D_
-Uniqueness_x000D_
-Constancy_x000D_
-Distinc Value Count_x000D_
_x000D_
DATA SOURCES / FILE FORMATS:_x000D_
Hive, Impala, MySQL</t>
  </si>
  <si>
    <t xml:space="preserve">MobyDQ is a tool for data engineering teams to automate data quality checks on their data pipeline, capture data quality issues and trigger alerts in case of anomaly, regardless of the data sources they use._x000D_
_x000D_
Free and open-source Data Quality solution that aims to automate Data Quality checks during data processing, storing Data Quality measurements and metric results, and triggering alerts in case of anomaly.  The framework can be used to access different data sources. It installed quickly and straightforward, based on the detailed documentation provided onGitHub. MobyDQ does not provide any data proﬁling functionality, because its focus is on the creation, application,and automation of Data Quality checks. _x000D_
_x000D_
MobyDQ provides a toolbox for data engineering teams to design data quality indicators with the objective to answer the following questions:_x000D_
_x000D_
Is all the necessary data present in the system?_x000D_
Is the data available at the time needed for its usage?_x000D_
Is the data compliant with validation or business rules?_x000D_
Does the data reflect real world objects?_x000D_
_x000D_
These questions can be answered using the following types of indicators:_x000D_
_x000D_
-Anomaly detection:	Machine learning algorithms to detect outlying values. **Work in progress**._x000D_
-Completeness:  Difference in percentage between a measure computed in the source system and the same measure computed in the target system._x000D_
-Freshness: Difference in minutes between the current timestamp and the last updated timestamp in the target system._x000D_
-Latency:	Difference in minutes between the last updated timestamp in the source system and the last updated timestamp in the target system._x000D_
-Validity: Any measure computed in target system which does not comply with a validation or business rules._x000D_
_x000D_
DATA SOURCES / FILE FORMATS:_x000D_
Cloudera Hive, MariaDB, Microsoft SQL Server, MySQL, Oracle, PostgreSQL, SQLite, Teradata, Snowflake, Hortonworks Hive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</si>
</sst>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7"/>
      <color theme="1"/>
      <name val="Times New Roman"/>
      <family val="1"/>
    </font>
    <font>
      <sz val="8"/>
      <name val="Calibri"/>
      <family val="2"/>
      <scheme val="minor"/>
    </font>
    <font>
      <sz val="11"/>
      <color theme="1"/>
      <name val="Calibri"/>
      <family val="1"/>
      <scheme val="minor"/>
    </font>
    <font>
      <sz val="11"/>
      <name val="Calibri"/>
      <family val="2"/>
      <scheme val="minor"/>
    </font>
    <font>
      <b/>
      <sz val="14"/>
      <color theme="0"/>
      <name val="Calibri"/>
      <family val="2"/>
      <scheme val="minor"/>
    </font>
    <font>
      <sz val="24"/>
      <color rgb="FF000000"/>
      <name val="Ff5"/>
    </font>
    <font>
      <b/>
      <sz val="11"/>
      <name val="Calibri"/>
      <family val="2"/>
      <scheme val="minor"/>
    </font>
    <font>
      <b/>
      <sz val="10"/>
      <color theme="0"/>
      <name val="Calibri"/>
      <family val="2"/>
      <scheme val="minor"/>
    </font>
    <font>
      <sz val="9"/>
      <color indexed="81"/>
      <name val="Tahoma"/>
      <family val="2"/>
    </font>
    <font>
      <b/>
      <sz val="9"/>
      <color indexed="81"/>
      <name val="Tahoma"/>
      <family val="2"/>
    </font>
    <font>
      <u/>
      <sz val="9"/>
      <color indexed="81"/>
      <name val="Tahoma"/>
      <family val="2"/>
    </font>
    <font>
      <sz val="10"/>
      <color rgb="FF000000"/>
      <name val="Calibri"/>
      <family val="2"/>
    </font>
    <font>
      <sz val="8"/>
      <color rgb="FF000000"/>
      <name val="Segoe UI"/>
      <family val="2"/>
    </font>
    <font>
      <sz val="11"/>
      <color rgb="FFFF0000"/>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sz val="14"/>
      <color rgb="FFFF0000"/>
      <name val="Calibri"/>
      <family val="2"/>
      <scheme val="minor"/>
    </font>
    <font>
      <b/>
      <sz val="14"/>
      <color rgb="FF00B050"/>
      <name val="Calibri"/>
      <family val="2"/>
      <scheme val="minor"/>
    </font>
    <font>
      <b/>
      <sz val="12"/>
      <color theme="0"/>
      <name val="Calibri"/>
      <family val="2"/>
      <scheme val="minor"/>
    </font>
    <font>
      <sz val="12"/>
      <name val="Calibri"/>
      <family val="2"/>
      <scheme val="minor"/>
    </font>
  </fonts>
  <fills count="12">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993366"/>
        <bgColor indexed="64"/>
      </patternFill>
    </fill>
    <fill>
      <patternFill patternType="solid">
        <fgColor rgb="FFF5E7F1"/>
        <bgColor indexed="64"/>
      </patternFill>
    </fill>
    <fill>
      <patternFill patternType="solid">
        <fgColor theme="4"/>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E7E6E6"/>
        <bgColor indexed="64"/>
      </patternFill>
    </fill>
    <fill>
      <patternFill patternType="solid">
        <fgColor rgb="FF002060"/>
        <bgColor indexed="64"/>
      </patternFill>
    </fill>
    <fill>
      <patternFill patternType="solid">
        <fgColor theme="0" tint="-4.9989318521683403E-2"/>
        <bgColor indexed="64"/>
      </patternFill>
    </fill>
  </fills>
  <borders count="44">
    <border>
      <left/>
      <right/>
      <top/>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style="medium">
        <color theme="2" tint="-9.9978637043366805E-2"/>
      </left>
      <right style="thin">
        <color theme="2" tint="-9.9978637043366805E-2"/>
      </right>
      <top style="medium">
        <color theme="2" tint="-9.9978637043366805E-2"/>
      </top>
      <bottom style="thin">
        <color theme="2" tint="-9.9978637043366805E-2"/>
      </bottom>
      <diagonal/>
    </border>
    <border>
      <left style="thin">
        <color theme="2" tint="-9.9978637043366805E-2"/>
      </left>
      <right style="thin">
        <color theme="2" tint="-9.9978637043366805E-2"/>
      </right>
      <top style="medium">
        <color theme="2" tint="-9.9978637043366805E-2"/>
      </top>
      <bottom style="thin">
        <color theme="2" tint="-9.9978637043366805E-2"/>
      </bottom>
      <diagonal/>
    </border>
    <border>
      <left style="thin">
        <color theme="2" tint="-9.9978637043366805E-2"/>
      </left>
      <right style="medium">
        <color theme="2" tint="-9.9978637043366805E-2"/>
      </right>
      <top style="medium">
        <color theme="2" tint="-9.9978637043366805E-2"/>
      </top>
      <bottom style="thin">
        <color theme="2" tint="-9.9978637043366805E-2"/>
      </bottom>
      <diagonal/>
    </border>
    <border>
      <left style="medium">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medium">
        <color theme="2" tint="-9.9978637043366805E-2"/>
      </right>
      <top style="thin">
        <color theme="2" tint="-9.9978637043366805E-2"/>
      </top>
      <bottom style="thin">
        <color theme="2" tint="-9.9978637043366805E-2"/>
      </bottom>
      <diagonal/>
    </border>
    <border>
      <left style="medium">
        <color theme="2" tint="-9.9978637043366805E-2"/>
      </left>
      <right style="thin">
        <color theme="2" tint="-9.9978637043366805E-2"/>
      </right>
      <top style="thin">
        <color theme="2" tint="-9.9978637043366805E-2"/>
      </top>
      <bottom/>
      <diagonal/>
    </border>
    <border>
      <left style="thin">
        <color theme="2" tint="-9.9978637043366805E-2"/>
      </left>
      <right style="medium">
        <color theme="2" tint="-9.9978637043366805E-2"/>
      </right>
      <top style="thin">
        <color theme="2" tint="-9.9978637043366805E-2"/>
      </top>
      <bottom/>
      <diagonal/>
    </border>
    <border>
      <left style="medium">
        <color theme="2" tint="-9.9978637043366805E-2"/>
      </left>
      <right style="thin">
        <color theme="2" tint="-9.9978637043366805E-2"/>
      </right>
      <top style="medium">
        <color theme="2" tint="-9.9978637043366805E-2"/>
      </top>
      <bottom style="medium">
        <color theme="2" tint="-9.9978637043366805E-2"/>
      </bottom>
      <diagonal/>
    </border>
    <border>
      <left style="thin">
        <color theme="2" tint="-9.9978637043366805E-2"/>
      </left>
      <right style="thin">
        <color theme="2" tint="-9.9978637043366805E-2"/>
      </right>
      <top style="medium">
        <color theme="2" tint="-9.9978637043366805E-2"/>
      </top>
      <bottom style="medium">
        <color theme="2" tint="-9.9978637043366805E-2"/>
      </bottom>
      <diagonal/>
    </border>
    <border>
      <left style="thin">
        <color theme="2" tint="-9.9978637043366805E-2"/>
      </left>
      <right style="medium">
        <color theme="2" tint="-9.9978637043366805E-2"/>
      </right>
      <top style="medium">
        <color theme="2" tint="-9.9978637043366805E-2"/>
      </top>
      <bottom style="medium">
        <color theme="2" tint="-9.9978637043366805E-2"/>
      </bottom>
      <diagonal/>
    </border>
    <border>
      <left style="medium">
        <color theme="2" tint="-9.9978637043366805E-2"/>
      </left>
      <right style="thin">
        <color theme="2" tint="-9.9978637043366805E-2"/>
      </right>
      <top style="medium">
        <color theme="2" tint="-9.9978637043366805E-2"/>
      </top>
      <bottom/>
      <diagonal/>
    </border>
    <border>
      <left style="thin">
        <color theme="2" tint="-9.9978637043366805E-2"/>
      </left>
      <right style="thin">
        <color theme="2" tint="-9.9978637043366805E-2"/>
      </right>
      <top style="medium">
        <color theme="2" tint="-9.9978637043366805E-2"/>
      </top>
      <bottom/>
      <diagonal/>
    </border>
    <border>
      <left style="thin">
        <color theme="2" tint="-9.9978637043366805E-2"/>
      </left>
      <right style="medium">
        <color theme="2" tint="-9.9978637043366805E-2"/>
      </right>
      <top style="medium">
        <color theme="2" tint="-9.9978637043366805E-2"/>
      </top>
      <bottom/>
      <diagonal/>
    </border>
    <border>
      <left style="medium">
        <color theme="2" tint="-9.9978637043366805E-2"/>
      </left>
      <right/>
      <top/>
      <bottom/>
      <diagonal/>
    </border>
    <border>
      <left/>
      <right style="medium">
        <color theme="2" tint="-9.9978637043366805E-2"/>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right style="medium">
        <color theme="2" tint="-9.9978637043366805E-2"/>
      </right>
      <top/>
      <bottom style="medium">
        <color theme="2" tint="-9.9978637043366805E-2"/>
      </bottom>
      <diagonal/>
    </border>
    <border>
      <left style="medium">
        <color theme="2" tint="-9.9978637043366805E-2"/>
      </left>
      <right style="thin">
        <color theme="2" tint="-9.9978637043366805E-2"/>
      </right>
      <top/>
      <bottom style="thin">
        <color theme="2" tint="-9.9978637043366805E-2"/>
      </bottom>
      <diagonal/>
    </border>
    <border>
      <left style="thin">
        <color theme="2" tint="-9.9978637043366805E-2"/>
      </left>
      <right style="medium">
        <color theme="2" tint="-9.9978637043366805E-2"/>
      </right>
      <top/>
      <bottom style="thin">
        <color theme="2" tint="-9.9978637043366805E-2"/>
      </bottom>
      <diagonal/>
    </border>
    <border>
      <left style="medium">
        <color indexed="64"/>
      </left>
      <right style="thin">
        <color theme="2" tint="-9.9978637043366805E-2"/>
      </right>
      <top style="medium">
        <color indexed="64"/>
      </top>
      <bottom style="thin">
        <color theme="2" tint="-9.9978637043366805E-2"/>
      </bottom>
      <diagonal/>
    </border>
    <border>
      <left style="thin">
        <color theme="2" tint="-9.9978637043366805E-2"/>
      </left>
      <right style="medium">
        <color indexed="64"/>
      </right>
      <top style="medium">
        <color indexed="64"/>
      </top>
      <bottom style="thin">
        <color theme="2" tint="-9.9978637043366805E-2"/>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2">
    <xf numFmtId="0" fontId="0" fillId="0" borderId="0"/>
    <xf numFmtId="0" fontId="3" fillId="0" borderId="0" applyNumberFormat="0" applyFill="0" applyBorder="0" applyAlignment="0" applyProtection="0"/>
  </cellStyleXfs>
  <cellXfs count="125">
    <xf numFmtId="0" fontId="0" fillId="0" borderId="0" xfId="0"/>
    <xf numFmtId="0" fontId="0" fillId="0" borderId="0" xfId="0" applyAlignment="1">
      <alignment horizontal="left" vertical="top"/>
    </xf>
    <xf numFmtId="0" fontId="0" fillId="0" borderId="0" xfId="0" applyAlignment="1">
      <alignment horizontal="left" vertical="top" wrapText="1"/>
    </xf>
    <xf numFmtId="0" fontId="6" fillId="0" borderId="0" xfId="0" applyFont="1" applyAlignment="1">
      <alignment horizontal="left" vertical="top" wrapText="1"/>
    </xf>
    <xf numFmtId="0" fontId="0" fillId="0" borderId="0" xfId="0" applyAlignment="1">
      <alignment wrapText="1"/>
    </xf>
    <xf numFmtId="0" fontId="0" fillId="0" borderId="0" xfId="0" applyAlignment="1">
      <alignment vertical="top" wrapText="1"/>
    </xf>
    <xf numFmtId="0" fontId="2" fillId="0" borderId="0" xfId="0" applyFont="1" applyAlignment="1">
      <alignment horizontal="left" vertical="top"/>
    </xf>
    <xf numFmtId="0" fontId="0" fillId="3" borderId="0" xfId="0" applyFill="1"/>
    <xf numFmtId="0" fontId="0" fillId="3" borderId="0" xfId="0" applyFill="1" applyAlignment="1">
      <alignment vertical="top"/>
    </xf>
    <xf numFmtId="0" fontId="0" fillId="3" borderId="0" xfId="0" applyFill="1" applyAlignment="1">
      <alignment wrapText="1"/>
    </xf>
    <xf numFmtId="0" fontId="0" fillId="3" borderId="2" xfId="0" applyFill="1" applyBorder="1" applyAlignment="1">
      <alignment horizontal="left" vertical="top"/>
    </xf>
    <xf numFmtId="0" fontId="0" fillId="3" borderId="2" xfId="0" applyFill="1" applyBorder="1" applyAlignment="1">
      <alignment horizontal="left" vertical="top" wrapText="1"/>
    </xf>
    <xf numFmtId="0" fontId="0" fillId="3" borderId="2" xfId="0" applyFill="1" applyBorder="1" applyAlignment="1">
      <alignment wrapText="1"/>
    </xf>
    <xf numFmtId="0" fontId="0" fillId="3" borderId="2" xfId="0" applyFill="1" applyBorder="1"/>
    <xf numFmtId="0" fontId="9" fillId="3" borderId="0" xfId="0" applyFont="1" applyFill="1" applyAlignment="1">
      <alignment horizontal="left" vertical="center"/>
    </xf>
    <xf numFmtId="14" fontId="7" fillId="3" borderId="2" xfId="0" applyNumberFormat="1" applyFont="1" applyFill="1" applyBorder="1" applyAlignment="1">
      <alignment horizontal="left" vertical="top" wrapText="1"/>
    </xf>
    <xf numFmtId="0" fontId="3" fillId="3" borderId="2" xfId="1" applyFill="1" applyBorder="1" applyAlignment="1">
      <alignment horizontal="left" vertical="top" wrapText="1"/>
    </xf>
    <xf numFmtId="0" fontId="0" fillId="4" borderId="0" xfId="0" applyFill="1"/>
    <xf numFmtId="0" fontId="0" fillId="4" borderId="0" xfId="0" applyFill="1" applyAlignment="1">
      <alignment wrapText="1"/>
    </xf>
    <xf numFmtId="0" fontId="0" fillId="4" borderId="0" xfId="0" applyFill="1" applyAlignment="1">
      <alignment vertical="top"/>
    </xf>
    <xf numFmtId="0" fontId="0" fillId="4" borderId="0" xfId="0" applyFill="1" applyAlignment="1">
      <alignment horizontal="left" vertical="top"/>
    </xf>
    <xf numFmtId="0" fontId="0" fillId="4" borderId="0" xfId="0" applyFill="1" applyAlignment="1">
      <alignment horizontal="left" vertical="top" wrapText="1"/>
    </xf>
    <xf numFmtId="14" fontId="0" fillId="3" borderId="2" xfId="0" applyNumberFormat="1" applyFill="1" applyBorder="1" applyAlignment="1">
      <alignment horizontal="left" vertical="top"/>
    </xf>
    <xf numFmtId="0" fontId="3" fillId="0" borderId="0" xfId="1" applyAlignment="1">
      <alignment horizontal="left" vertical="top"/>
    </xf>
    <xf numFmtId="0" fontId="0" fillId="3" borderId="0" xfId="0" applyFill="1" applyBorder="1"/>
    <xf numFmtId="0" fontId="0" fillId="0" borderId="0" xfId="0" applyFill="1" applyAlignment="1">
      <alignment horizontal="left" vertical="top"/>
    </xf>
    <xf numFmtId="0" fontId="8" fillId="4" borderId="2" xfId="0" applyFont="1" applyFill="1" applyBorder="1"/>
    <xf numFmtId="0" fontId="8" fillId="4" borderId="2" xfId="0" applyFont="1" applyFill="1" applyBorder="1" applyAlignment="1">
      <alignment wrapText="1"/>
    </xf>
    <xf numFmtId="0" fontId="2" fillId="5" borderId="2" xfId="0" applyFont="1" applyFill="1" applyBorder="1" applyAlignment="1">
      <alignment horizontal="left" vertical="top" wrapText="1"/>
    </xf>
    <xf numFmtId="0" fontId="15" fillId="3" borderId="1" xfId="0" applyFont="1" applyFill="1" applyBorder="1" applyAlignment="1">
      <alignment vertical="center" wrapText="1"/>
    </xf>
    <xf numFmtId="49" fontId="2" fillId="0" borderId="0" xfId="0" applyNumberFormat="1" applyFont="1" applyAlignment="1">
      <alignment horizontal="left" vertical="top" wrapText="1"/>
    </xf>
    <xf numFmtId="49" fontId="0" fillId="0" borderId="0" xfId="0" applyNumberFormat="1" applyAlignment="1">
      <alignment horizontal="left" vertical="top" wrapText="1"/>
    </xf>
    <xf numFmtId="0" fontId="0" fillId="2" borderId="0" xfId="0" applyFill="1" applyAlignment="1">
      <alignment wrapText="1"/>
    </xf>
    <xf numFmtId="0" fontId="0" fillId="2" borderId="0" xfId="0" applyFill="1"/>
    <xf numFmtId="0" fontId="0" fillId="0" borderId="0" xfId="0" applyAlignment="1">
      <alignment horizontal="left" wrapText="1"/>
    </xf>
    <xf numFmtId="0" fontId="2" fillId="8" borderId="0" xfId="0" applyFont="1" applyFill="1" applyAlignment="1">
      <alignment wrapText="1"/>
    </xf>
    <xf numFmtId="0" fontId="2" fillId="8" borderId="0" xfId="0" applyFont="1" applyFill="1"/>
    <xf numFmtId="0" fontId="2" fillId="8" borderId="0" xfId="0" applyFont="1" applyFill="1" applyAlignment="1">
      <alignment horizontal="left" vertical="top" wrapText="1"/>
    </xf>
    <xf numFmtId="0" fontId="2" fillId="8" borderId="0" xfId="0" applyFont="1" applyFill="1" applyAlignment="1">
      <alignment horizontal="left" wrapText="1"/>
    </xf>
    <xf numFmtId="0" fontId="2" fillId="8" borderId="0" xfId="0" applyFont="1" applyFill="1" applyAlignment="1">
      <alignment horizontal="left" vertical="top"/>
    </xf>
    <xf numFmtId="0" fontId="1" fillId="4" borderId="0" xfId="0" applyFont="1" applyFill="1" applyBorder="1" applyAlignment="1">
      <alignment horizontal="center" vertical="center"/>
    </xf>
    <xf numFmtId="0" fontId="1" fillId="4" borderId="0" xfId="0" applyFont="1" applyFill="1" applyBorder="1" applyAlignment="1">
      <alignment horizontal="right" vertical="top" wrapText="1"/>
    </xf>
    <xf numFmtId="0" fontId="0" fillId="8" borderId="0" xfId="0" applyFill="1"/>
    <xf numFmtId="0" fontId="0" fillId="5" borderId="0" xfId="0" applyFill="1"/>
    <xf numFmtId="0" fontId="0" fillId="5" borderId="0" xfId="0" applyFill="1" applyAlignment="1">
      <alignment horizontal="left" vertical="top" wrapText="1"/>
    </xf>
    <xf numFmtId="0" fontId="0" fillId="5" borderId="0" xfId="0" applyFont="1" applyFill="1" applyAlignment="1">
      <alignment horizontal="left" wrapText="1"/>
    </xf>
    <xf numFmtId="0" fontId="0" fillId="5" borderId="0" xfId="0" applyFill="1" applyAlignment="1">
      <alignment horizontal="left" vertical="top"/>
    </xf>
    <xf numFmtId="0" fontId="0" fillId="5" borderId="0" xfId="0" applyFill="1" applyAlignment="1">
      <alignment horizontal="left" wrapText="1"/>
    </xf>
    <xf numFmtId="0" fontId="0" fillId="5" borderId="0" xfId="0" applyFill="1" applyAlignment="1">
      <alignment wrapText="1"/>
    </xf>
    <xf numFmtId="0" fontId="0" fillId="0" borderId="0" xfId="0" applyNumberFormat="1"/>
    <xf numFmtId="0" fontId="0" fillId="3" borderId="8" xfId="0" applyFill="1" applyBorder="1" applyAlignment="1">
      <alignment horizontal="left" vertical="top"/>
    </xf>
    <xf numFmtId="0" fontId="0" fillId="3" borderId="12" xfId="0" applyFill="1" applyBorder="1" applyAlignment="1">
      <alignment horizontal="left" vertical="top"/>
    </xf>
    <xf numFmtId="0" fontId="3" fillId="3" borderId="9" xfId="1" applyFill="1" applyBorder="1" applyAlignment="1">
      <alignment horizontal="left" vertical="top" wrapText="1"/>
    </xf>
    <xf numFmtId="0" fontId="0" fillId="3" borderId="9" xfId="0" applyFill="1" applyBorder="1" applyAlignment="1">
      <alignment horizontal="left" vertical="top" wrapText="1"/>
    </xf>
    <xf numFmtId="0" fontId="0" fillId="3" borderId="9" xfId="0" applyFill="1" applyBorder="1" applyAlignment="1">
      <alignment horizontal="left" vertical="top"/>
    </xf>
    <xf numFmtId="14" fontId="0" fillId="3" borderId="9" xfId="0" applyNumberFormat="1" applyFill="1" applyBorder="1" applyAlignment="1">
      <alignment horizontal="left" vertical="top"/>
    </xf>
    <xf numFmtId="0" fontId="7" fillId="4" borderId="0" xfId="0" applyFont="1" applyFill="1"/>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0" fillId="3" borderId="0" xfId="0" applyFill="1" applyBorder="1" applyAlignment="1"/>
    <xf numFmtId="0" fontId="11" fillId="3" borderId="0" xfId="0" applyFont="1" applyFill="1" applyBorder="1" applyAlignment="1">
      <alignment horizontal="center" vertical="center" wrapText="1"/>
    </xf>
    <xf numFmtId="0" fontId="1" fillId="3" borderId="0" xfId="0" applyFont="1" applyFill="1" applyBorder="1" applyAlignment="1">
      <alignment horizontal="left" vertical="top" wrapText="1"/>
    </xf>
    <xf numFmtId="0" fontId="0" fillId="3" borderId="0" xfId="0" applyFill="1" applyBorder="1" applyAlignment="1">
      <alignment horizontal="left" vertical="top"/>
    </xf>
    <xf numFmtId="0" fontId="8" fillId="4" borderId="11" xfId="0" applyFont="1" applyFill="1" applyBorder="1" applyAlignment="1">
      <alignment horizontal="center" vertical="center" wrapText="1"/>
    </xf>
    <xf numFmtId="0" fontId="0" fillId="0" borderId="0" xfId="0" applyFill="1" applyAlignment="1">
      <alignment horizontal="left" vertical="top" wrapText="1"/>
    </xf>
    <xf numFmtId="2" fontId="0" fillId="3" borderId="0" xfId="0" applyNumberFormat="1" applyFill="1"/>
    <xf numFmtId="49" fontId="0" fillId="3" borderId="21" xfId="0" quotePrefix="1" applyNumberFormat="1" applyFill="1" applyBorder="1" applyAlignment="1">
      <alignment horizontal="left" vertical="top" wrapText="1"/>
    </xf>
    <xf numFmtId="49" fontId="0" fillId="3" borderId="23" xfId="0" quotePrefix="1" applyNumberFormat="1" applyFill="1" applyBorder="1" applyAlignment="1">
      <alignment horizontal="left" vertical="top" wrapText="1"/>
    </xf>
    <xf numFmtId="49" fontId="0" fillId="3" borderId="23" xfId="0" applyNumberFormat="1" applyFill="1" applyBorder="1" applyAlignment="1">
      <alignment wrapText="1"/>
    </xf>
    <xf numFmtId="49" fontId="0" fillId="3" borderId="25" xfId="0" applyNumberFormat="1" applyFill="1" applyBorder="1" applyAlignment="1">
      <alignment wrapText="1"/>
    </xf>
    <xf numFmtId="49" fontId="0" fillId="3" borderId="25" xfId="0" quotePrefix="1" applyNumberFormat="1" applyFill="1" applyBorder="1" applyAlignment="1">
      <alignment horizontal="left" vertical="top" wrapText="1"/>
    </xf>
    <xf numFmtId="49" fontId="0" fillId="3" borderId="21" xfId="0" applyNumberFormat="1" applyFill="1" applyBorder="1" applyAlignment="1">
      <alignment wrapText="1"/>
    </xf>
    <xf numFmtId="0" fontId="8" fillId="10" borderId="17" xfId="0" applyFont="1" applyFill="1" applyBorder="1" applyAlignment="1">
      <alignment horizontal="center" vertical="center" wrapText="1"/>
    </xf>
    <xf numFmtId="0" fontId="2" fillId="11" borderId="29" xfId="0" applyFont="1" applyFill="1" applyBorder="1" applyAlignment="1">
      <alignment wrapText="1"/>
    </xf>
    <xf numFmtId="0" fontId="0" fillId="3" borderId="30" xfId="0" applyFill="1" applyBorder="1"/>
    <xf numFmtId="49" fontId="0" fillId="3" borderId="31" xfId="0" applyNumberFormat="1" applyFill="1" applyBorder="1" applyAlignment="1">
      <alignment wrapText="1"/>
    </xf>
    <xf numFmtId="0" fontId="2" fillId="11" borderId="26" xfId="0" applyFont="1" applyFill="1" applyBorder="1" applyAlignment="1">
      <alignment horizontal="left" vertical="top" wrapText="1"/>
    </xf>
    <xf numFmtId="0" fontId="0" fillId="3" borderId="27" xfId="0" applyFill="1" applyBorder="1" applyAlignment="1">
      <alignment horizontal="left" vertical="top"/>
    </xf>
    <xf numFmtId="49" fontId="0" fillId="3" borderId="28" xfId="0" applyNumberFormat="1" applyFill="1" applyBorder="1" applyAlignment="1">
      <alignment horizontal="left" vertical="top" wrapText="1"/>
    </xf>
    <xf numFmtId="0" fontId="2" fillId="11" borderId="29" xfId="0" applyFont="1" applyFill="1" applyBorder="1" applyAlignment="1">
      <alignment horizontal="left" vertical="top" wrapText="1"/>
    </xf>
    <xf numFmtId="0" fontId="0" fillId="3" borderId="30" xfId="0" applyFill="1" applyBorder="1" applyAlignment="1">
      <alignment horizontal="left" vertical="top"/>
    </xf>
    <xf numFmtId="49" fontId="0" fillId="3" borderId="31" xfId="0" applyNumberFormat="1" applyFill="1" applyBorder="1" applyAlignment="1">
      <alignment horizontal="left" vertical="top" wrapText="1"/>
    </xf>
    <xf numFmtId="0" fontId="0" fillId="3" borderId="25" xfId="0" applyFill="1" applyBorder="1"/>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8" fillId="10" borderId="21" xfId="0" applyFont="1" applyFill="1" applyBorder="1" applyAlignment="1">
      <alignment horizontal="center" vertical="center" wrapText="1"/>
    </xf>
    <xf numFmtId="49" fontId="0" fillId="3" borderId="21" xfId="0" applyNumberFormat="1" applyFill="1" applyBorder="1" applyAlignment="1">
      <alignment horizontal="left" vertical="top" wrapText="1"/>
    </xf>
    <xf numFmtId="49" fontId="0" fillId="3" borderId="23" xfId="0" applyNumberFormat="1" applyFill="1" applyBorder="1" applyAlignment="1">
      <alignment horizontal="left" vertical="top" wrapText="1"/>
    </xf>
    <xf numFmtId="49" fontId="0" fillId="3" borderId="25" xfId="0" applyNumberFormat="1" applyFill="1" applyBorder="1" applyAlignment="1">
      <alignment horizontal="left" vertical="top" wrapText="1"/>
    </xf>
    <xf numFmtId="49" fontId="0" fillId="3" borderId="38" xfId="0" applyNumberFormat="1" applyFill="1" applyBorder="1" applyAlignment="1">
      <alignment horizontal="left" vertical="top" wrapText="1"/>
    </xf>
    <xf numFmtId="0" fontId="20" fillId="0" borderId="32" xfId="0" applyFont="1" applyBorder="1" applyAlignment="1">
      <alignment wrapText="1"/>
    </xf>
    <xf numFmtId="2" fontId="20" fillId="0" borderId="0" xfId="0" applyNumberFormat="1" applyFont="1" applyBorder="1"/>
    <xf numFmtId="2" fontId="21" fillId="0" borderId="33" xfId="0" applyNumberFormat="1" applyFont="1" applyBorder="1"/>
    <xf numFmtId="0" fontId="20" fillId="0" borderId="34" xfId="0" applyFont="1" applyBorder="1" applyAlignment="1">
      <alignment wrapText="1"/>
    </xf>
    <xf numFmtId="2" fontId="20" fillId="0" borderId="35" xfId="0" applyNumberFormat="1" applyFont="1" applyBorder="1"/>
    <xf numFmtId="2" fontId="21" fillId="0" borderId="36" xfId="0" applyNumberFormat="1" applyFont="1" applyBorder="1"/>
    <xf numFmtId="0" fontId="24" fillId="3" borderId="3" xfId="0" applyFont="1" applyFill="1" applyBorder="1" applyAlignment="1">
      <alignment horizontal="left" vertical="top"/>
    </xf>
    <xf numFmtId="0" fontId="19" fillId="7" borderId="15" xfId="0" applyFont="1" applyFill="1" applyBorder="1" applyAlignment="1">
      <alignment horizontal="center" vertical="center" wrapText="1"/>
    </xf>
    <xf numFmtId="0" fontId="19" fillId="7" borderId="13" xfId="0" applyFont="1" applyFill="1" applyBorder="1" applyAlignment="1">
      <alignment horizontal="center" vertical="center" wrapText="1"/>
    </xf>
    <xf numFmtId="0" fontId="19" fillId="7" borderId="14" xfId="0" applyFont="1" applyFill="1" applyBorder="1" applyAlignment="1">
      <alignment horizontal="center" vertical="center" wrapText="1"/>
    </xf>
    <xf numFmtId="0" fontId="24" fillId="3" borderId="4" xfId="0" applyFont="1" applyFill="1" applyBorder="1" applyAlignment="1">
      <alignment horizontal="center" vertical="center" wrapText="1"/>
    </xf>
    <xf numFmtId="0" fontId="24" fillId="6" borderId="5" xfId="0" applyFont="1" applyFill="1" applyBorder="1" applyAlignment="1">
      <alignment horizontal="center" vertical="center" wrapText="1"/>
    </xf>
    <xf numFmtId="0" fontId="24" fillId="6" borderId="6" xfId="0" applyFont="1" applyFill="1" applyBorder="1" applyAlignment="1">
      <alignment horizontal="center" vertical="center" wrapText="1"/>
    </xf>
    <xf numFmtId="0" fontId="24" fillId="6" borderId="7" xfId="0" applyFont="1" applyFill="1" applyBorder="1" applyAlignment="1">
      <alignment horizontal="center" vertical="center" wrapText="1"/>
    </xf>
    <xf numFmtId="0" fontId="25" fillId="2" borderId="2" xfId="0" applyFont="1" applyFill="1" applyBorder="1" applyAlignment="1">
      <alignment horizontal="left" vertical="top" wrapText="1"/>
    </xf>
    <xf numFmtId="2" fontId="18" fillId="3" borderId="2" xfId="0" applyNumberFormat="1" applyFont="1" applyFill="1" applyBorder="1" applyAlignment="1">
      <alignment horizontal="center" vertical="center"/>
    </xf>
    <xf numFmtId="2" fontId="18" fillId="3" borderId="11" xfId="0" applyNumberFormat="1" applyFont="1" applyFill="1" applyBorder="1" applyAlignment="1">
      <alignment horizontal="center" vertical="center"/>
    </xf>
    <xf numFmtId="2" fontId="18" fillId="3" borderId="8" xfId="0" applyNumberFormat="1" applyFont="1" applyFill="1" applyBorder="1" applyAlignment="1">
      <alignment horizontal="center" vertical="center"/>
    </xf>
    <xf numFmtId="0" fontId="25" fillId="2" borderId="11" xfId="0" applyFont="1" applyFill="1" applyBorder="1" applyAlignment="1">
      <alignment horizontal="left" vertical="top" wrapText="1"/>
    </xf>
    <xf numFmtId="0" fontId="25" fillId="2" borderId="9" xfId="0" applyFont="1" applyFill="1" applyBorder="1" applyAlignment="1">
      <alignment horizontal="left" vertical="top" wrapText="1"/>
    </xf>
    <xf numFmtId="0" fontId="25" fillId="9" borderId="2" xfId="0" applyFont="1" applyFill="1" applyBorder="1" applyAlignment="1">
      <alignment horizontal="left" vertical="top" wrapText="1"/>
    </xf>
    <xf numFmtId="0" fontId="8" fillId="10" borderId="39" xfId="0" applyFont="1" applyFill="1" applyBorder="1" applyAlignment="1">
      <alignment horizontal="center" vertical="center" wrapText="1"/>
    </xf>
    <xf numFmtId="0" fontId="8" fillId="10" borderId="40" xfId="0" applyFont="1" applyFill="1" applyBorder="1" applyAlignment="1">
      <alignment horizontal="center" vertical="center" wrapText="1"/>
    </xf>
    <xf numFmtId="0" fontId="20" fillId="0" borderId="4" xfId="0" applyFont="1" applyBorder="1" applyAlignment="1">
      <alignment wrapText="1"/>
    </xf>
    <xf numFmtId="2" fontId="21" fillId="0" borderId="41" xfId="0" applyNumberFormat="1" applyFont="1" applyBorder="1"/>
    <xf numFmtId="0" fontId="20" fillId="0" borderId="42" xfId="0" applyFont="1" applyBorder="1" applyAlignment="1">
      <alignment wrapText="1"/>
    </xf>
    <xf numFmtId="2" fontId="21" fillId="0" borderId="43" xfId="0" applyNumberFormat="1" applyFont="1" applyBorder="1"/>
    <xf numFmtId="0" fontId="2" fillId="11" borderId="19" xfId="0" applyFont="1" applyFill="1" applyBorder="1" applyAlignment="1">
      <alignment horizontal="left" vertical="top" wrapText="1"/>
    </xf>
    <xf numFmtId="0" fontId="2" fillId="11" borderId="22" xfId="0" applyFont="1" applyFill="1" applyBorder="1" applyAlignment="1">
      <alignment horizontal="left" vertical="top" wrapText="1"/>
    </xf>
    <xf numFmtId="0" fontId="2" fillId="11" borderId="24" xfId="0" applyFont="1" applyFill="1" applyBorder="1" applyAlignment="1">
      <alignment horizontal="left" vertical="top" wrapText="1"/>
    </xf>
    <xf numFmtId="0" fontId="0" fillId="3" borderId="20" xfId="0" applyFill="1" applyBorder="1" applyAlignment="1">
      <alignment horizontal="left" vertical="top"/>
    </xf>
    <xf numFmtId="0" fontId="0" fillId="3" borderId="16" xfId="0" applyFill="1" applyBorder="1" applyAlignment="1">
      <alignment horizontal="left" vertical="top"/>
    </xf>
    <xf numFmtId="0" fontId="0" fillId="3" borderId="17" xfId="0" applyFill="1" applyBorder="1" applyAlignment="1">
      <alignment horizontal="left" vertical="top"/>
    </xf>
    <xf numFmtId="0" fontId="0" fillId="3" borderId="18" xfId="0" applyFill="1" applyBorder="1" applyAlignment="1">
      <alignment horizontal="left" vertical="top"/>
    </xf>
    <xf numFmtId="0" fontId="2" fillId="11" borderId="37" xfId="0" applyFont="1" applyFill="1" applyBorder="1" applyAlignment="1">
      <alignment horizontal="left" vertical="top" wrapText="1"/>
    </xf>
  </cellXfs>
  <cellStyles count="2">
    <cellStyle name="Hyperlink" xfId="1" builtinId="8"/>
    <cellStyle name="Normal" xfId="0" builtinId="0"/>
  </cellStyles>
  <dxfs count="27">
    <dxf>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2"/>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30" formatCode="@"/>
      <alignment horizontal="left" vertical="top" textRotation="0" wrapText="1"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bottom"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4"/>
        <color theme="0"/>
        <name val="Calibri"/>
        <family val="2"/>
        <scheme val="minor"/>
      </font>
      <fill>
        <patternFill patternType="solid">
          <fgColor indexed="64"/>
          <bgColor rgb="FF993366"/>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5E7F1"/>
      <color rgb="FF993366"/>
      <color rgb="FF660033"/>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xdr:row>
          <xdr:rowOff>219075</xdr:rowOff>
        </xdr:from>
        <xdr:to>
          <xdr:col>1</xdr:col>
          <xdr:colOff>600075</xdr:colOff>
          <xdr:row>1</xdr:row>
          <xdr:rowOff>619125</xdr:rowOff>
        </xdr:to>
        <xdr:sp macro="" textlink="">
          <xdr:nvSpPr>
            <xdr:cNvPr id="19493" name="cmdAddTool" hidden="1">
              <a:extLst>
                <a:ext uri="{63B3BB69-23CF-44E3-9099-C40C66FF867C}">
                  <a14:compatExt spid="_x0000_s19493"/>
                </a:ext>
                <a:ext uri="{FF2B5EF4-FFF2-40B4-BE49-F238E27FC236}">
                  <a16:creationId xmlns:a16="http://schemas.microsoft.com/office/drawing/2014/main" id="{00000000-0008-0000-0200-0000254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xdr:row>
          <xdr:rowOff>590550</xdr:rowOff>
        </xdr:from>
        <xdr:to>
          <xdr:col>1</xdr:col>
          <xdr:colOff>704850</xdr:colOff>
          <xdr:row>1</xdr:row>
          <xdr:rowOff>733425</xdr:rowOff>
        </xdr:to>
        <xdr:sp macro="" textlink="">
          <xdr:nvSpPr>
            <xdr:cNvPr id="19494" name="Label 38" descr="Click to Add a Tool" hidden="1">
              <a:extLst>
                <a:ext uri="{63B3BB69-23CF-44E3-9099-C40C66FF867C}">
                  <a14:compatExt spid="_x0000_s19494"/>
                </a:ext>
                <a:ext uri="{FF2B5EF4-FFF2-40B4-BE49-F238E27FC236}">
                  <a16:creationId xmlns:a16="http://schemas.microsoft.com/office/drawing/2014/main" id="{00000000-0008-0000-0200-000026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Add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1</xdr:row>
          <xdr:rowOff>209550</xdr:rowOff>
        </xdr:from>
        <xdr:to>
          <xdr:col>1</xdr:col>
          <xdr:colOff>1304925</xdr:colOff>
          <xdr:row>1</xdr:row>
          <xdr:rowOff>619125</xdr:rowOff>
        </xdr:to>
        <xdr:sp macro="" textlink="">
          <xdr:nvSpPr>
            <xdr:cNvPr id="19495" name="cmdDelTool" hidden="1">
              <a:extLst>
                <a:ext uri="{63B3BB69-23CF-44E3-9099-C40C66FF867C}">
                  <a14:compatExt spid="_x0000_s19495"/>
                </a:ext>
                <a:ext uri="{FF2B5EF4-FFF2-40B4-BE49-F238E27FC236}">
                  <a16:creationId xmlns:a16="http://schemas.microsoft.com/office/drawing/2014/main" id="{00000000-0008-0000-0200-00002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790575</xdr:colOff>
          <xdr:row>1</xdr:row>
          <xdr:rowOff>590550</xdr:rowOff>
        </xdr:from>
        <xdr:to>
          <xdr:col>1</xdr:col>
          <xdr:colOff>1371600</xdr:colOff>
          <xdr:row>1</xdr:row>
          <xdr:rowOff>771525</xdr:rowOff>
        </xdr:to>
        <xdr:sp macro="" textlink="">
          <xdr:nvSpPr>
            <xdr:cNvPr id="19496" name="Label 40" descr="Click to Add a Tool" hidden="1">
              <a:extLst>
                <a:ext uri="{63B3BB69-23CF-44E3-9099-C40C66FF867C}">
                  <a14:compatExt spid="_x0000_s19496"/>
                </a:ext>
                <a:ext uri="{FF2B5EF4-FFF2-40B4-BE49-F238E27FC236}">
                  <a16:creationId xmlns:a16="http://schemas.microsoft.com/office/drawing/2014/main" id="{00000000-0008-0000-0200-000028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Delete Tool</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83BA8B-60E4-4D76-AC11-198B81996A28}" name="FeatureTree" displayName="FeatureTree" ref="A1:F77" totalsRowShown="0" headerRowDxfId="26" headerRowBorderDxfId="25" tableBorderDxfId="24">
  <tableColumns count="6">
    <tableColumn id="1" xr3:uid="{A928383C-8931-490F-9503-9303924A7831}" name="Key"/>
    <tableColumn id="2" xr3:uid="{F23C2658-162B-4BDB-BF8F-2D6B8AA0B67A}" name="Group" dataDxfId="23"/>
    <tableColumn id="3" xr3:uid="{B90D741D-7583-44F9-B363-7DF138BCAA47}" name="ParentKey" dataDxfId="22"/>
    <tableColumn id="4" xr3:uid="{5B4CD20A-1355-40C1-A9EB-5A567FFCB688}" name="ParentGroup" dataDxfId="21"/>
    <tableColumn id="5" xr3:uid="{775E163E-2ED8-43B1-8F38-4ADF1C1D06FA}" name="Weight" dataDxfId="20"/>
    <tableColumn id="6" xr3:uid="{66CED108-609A-4A9E-BFE4-F01674835A92}" name="Categ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6353F2-F214-46BE-833A-9BB0FF185328}" name="ToolFeatures" displayName="ToolFeatures" ref="A1:G313" totalsRowShown="0">
  <autoFilter ref="A1:G313" xr:uid="{13B5DE68-2D1D-4BD0-B9A2-90A4104C631E}"/>
  <tableColumns count="7">
    <tableColumn id="1" xr3:uid="{40ED72A8-E448-4858-96BC-C62A1C3AF069}" name="TOOL" dataDxfId="19"/>
    <tableColumn id="2" xr3:uid="{1CF5AC97-1CDF-4AF7-9DF1-C8C23762BAD7}" name="FEATURE CODE" dataDxfId="18"/>
    <tableColumn id="3" xr3:uid="{E1ED54B0-7D50-430E-8559-6539061E5AD7}" name="FEATURE" dataDxfId="17">
      <calculatedColumnFormula>VLOOKUP(B2,#REF!,2,FALSE)</calculatedColumnFormula>
    </tableColumn>
    <tableColumn id="4" xr3:uid="{0787AF12-877A-41DD-9062-83B70A7867D7}" name="Weight" dataDxfId="16">
      <calculatedColumnFormula>VLOOKUP(ToolFeatures[[#This Row],[FEATURE CODE]],FeatureTree[],5,FALSE)</calculatedColumnFormula>
    </tableColumn>
    <tableColumn id="5" xr3:uid="{C5558800-F11E-467C-B8B4-CE71B2AFDBDD}" name="Category" dataDxfId="15">
      <calculatedColumnFormula>VLOOKUP(ToolFeatures[[#This Row],[FEATURE CODE]],FeatureTree[],6,FALSE)</calculatedColumnFormula>
    </tableColumn>
    <tableColumn id="6" xr3:uid="{52F97278-64EF-42E4-91B8-2A4D0BEAD00B}" name="Parent" dataDxfId="14">
      <calculatedColumnFormula>VLOOKUP(LEFT(ToolFeatures[[#This Row],[FEATURE CODE]],2),FeatureTree[],2,FALSE)</calculatedColumnFormula>
    </tableColumn>
    <tableColumn id="7" xr3:uid="{FDCA7FE0-29BA-42C2-999B-5C0ADC044E68}" name="Group" dataDxfId="13">
      <calculatedColumnFormula>VLOOKUP(LEFT(ToolFeatures[[#This Row],[FEATURE CODE]],5),FeatureTree[],2,FALSE)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29E2B4-0D6B-4FA3-B504-0CB26E974558}" name="InfoCardDetails" displayName="InfoCardDetails" ref="B1:J29" totalsRowShown="0" headerRowDxfId="12" dataDxfId="10" headerRowBorderDxfId="11" tableBorderDxfId="9">
  <autoFilter ref="B1:J29" xr:uid="{DFACFE7D-F7BF-427C-B369-523F9E5B9F1E}"/>
  <tableColumns count="9">
    <tableColumn id="1" xr3:uid="{9E1393E9-16B0-4CCC-9802-466AECE71D94}" name="ID" dataDxfId="8"/>
    <tableColumn id="2" xr3:uid="{96573C23-0680-4B08-B0D5-ED302C90D289}" name="Name" dataDxfId="7"/>
    <tableColumn id="3" xr3:uid="{2716020F-34ED-41CF-8244-15BA0A0E98C9}" name="Links" dataDxfId="6" dataCellStyle="Hyperlink"/>
    <tableColumn id="4" xr3:uid="{83F7FCA6-BA56-4DB4-A84C-F58E1785189D}" name="License" dataDxfId="5" dataCellStyle="Hyperlink"/>
    <tableColumn id="5" xr3:uid="{199EBFE1-9FEA-452F-A706-9EAA8C9C5113}" name="Version" dataDxfId="4"/>
    <tableColumn id="6" xr3:uid="{400531F4-7D90-4895-8B84-F881675426D7}" name="Last Update" dataDxfId="3"/>
    <tableColumn id="7" xr3:uid="{8AB99E92-BAE2-44A8-A9CC-876F3D819A95}" name="OS" dataDxfId="2"/>
    <tableColumn id="8" xr3:uid="{EF383350-0577-4CB7-801F-B65575D39B66}" name="System Requirements" dataDxfId="1"/>
    <tableColumn id="9" xr3:uid="{F53F3CA7-C6BA-42C9-92AC-137DD78F777F}"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https://sourceforge.net/projects/dataquality/" TargetMode="External"/><Relationship Id="rId13" Type="http://schemas.openxmlformats.org/officeDocument/2006/relationships/hyperlink" Target="http://dataladder.com/data-matching-software/" TargetMode="External"/><Relationship Id="rId18" Type="http://schemas.openxmlformats.org/officeDocument/2006/relationships/hyperlink" Target="https://www.ataccama.com/products/dq-analyzer" TargetMode="External"/><Relationship Id="rId26" Type="http://schemas.openxmlformats.org/officeDocument/2006/relationships/table" Target="../tables/table3.xml"/><Relationship Id="rId3" Type="http://schemas.openxmlformats.org/officeDocument/2006/relationships/hyperlink" Target="https://realrolfje.github.io/anonimatron/" TargetMode="External"/><Relationship Id="rId21" Type="http://schemas.openxmlformats.org/officeDocument/2006/relationships/hyperlink" Target="https://www.knime.com/" TargetMode="External"/><Relationship Id="rId7" Type="http://schemas.openxmlformats.org/officeDocument/2006/relationships/hyperlink" Target="https://deeperinsights.com/healthcare-analytics/" TargetMode="External"/><Relationship Id="rId12" Type="http://schemas.openxmlformats.org/officeDocument/2006/relationships/hyperlink" Target="http://datacleaner.org/docs" TargetMode="External"/><Relationship Id="rId17" Type="http://schemas.openxmlformats.org/officeDocument/2006/relationships/hyperlink" Target="http://www.sqlpower.ca/page/dqguru" TargetMode="External"/><Relationship Id="rId25" Type="http://schemas.openxmlformats.org/officeDocument/2006/relationships/printerSettings" Target="../printerSettings/printerSettings6.bin"/><Relationship Id="rId2" Type="http://schemas.openxmlformats.org/officeDocument/2006/relationships/hyperlink" Target="https://sourceforge.net/projects/weka/" TargetMode="External"/><Relationship Id="rId16" Type="http://schemas.openxmlformats.org/officeDocument/2006/relationships/hyperlink" Target="http://www.sqlpower.ca/page/architect" TargetMode="External"/><Relationship Id="rId20" Type="http://schemas.openxmlformats.org/officeDocument/2006/relationships/hyperlink" Target="https://arx.deidentifier.org/" TargetMode="External"/><Relationship Id="rId1" Type="http://schemas.openxmlformats.org/officeDocument/2006/relationships/hyperlink" Target="https://www.gnu.org/licenses/gpl-3.0.en.html" TargetMode="External"/><Relationship Id="rId6" Type="http://schemas.openxmlformats.org/officeDocument/2006/relationships/hyperlink" Target="https://github.com/cytoscape/cytoscape-tutorials/wiki" TargetMode="External"/><Relationship Id="rId11" Type="http://schemas.openxmlformats.org/officeDocument/2006/relationships/hyperlink" Target="http://openrefine.org/" TargetMode="External"/><Relationship Id="rId24" Type="http://schemas.openxmlformats.org/officeDocument/2006/relationships/hyperlink" Target="http://orange.biolab.si/" TargetMode="External"/><Relationship Id="rId5" Type="http://schemas.openxmlformats.org/officeDocument/2006/relationships/hyperlink" Target="https://www.rapidminer.com/" TargetMode="External"/><Relationship Id="rId15" Type="http://schemas.openxmlformats.org/officeDocument/2006/relationships/hyperlink" Target="http://wiki.pentaho.com/display/EAI/Latest+Pentaho+Data+Integration+%28aka+Kettle%29+Documentation" TargetMode="External"/><Relationship Id="rId23" Type="http://schemas.openxmlformats.org/officeDocument/2006/relationships/hyperlink" Target="https://github.com/rapidminer/rapidminer-studio/blob/master/LICENSE" TargetMode="External"/><Relationship Id="rId10" Type="http://schemas.openxmlformats.org/officeDocument/2006/relationships/hyperlink" Target="https://github.com/OHDSI/WhiteRabbit" TargetMode="External"/><Relationship Id="rId19" Type="http://schemas.openxmlformats.org/officeDocument/2006/relationships/hyperlink" Target="http://www.gnu.org/copyleft/lesser.html" TargetMode="External"/><Relationship Id="rId4" Type="http://schemas.openxmlformats.org/officeDocument/2006/relationships/hyperlink" Target="https://sourceforge.net/directory/license:gplv3/" TargetMode="External"/><Relationship Id="rId9" Type="http://schemas.openxmlformats.org/officeDocument/2006/relationships/hyperlink" Target="https://sourceforge.net/directory/license:gplv3/" TargetMode="External"/><Relationship Id="rId14" Type="http://schemas.openxmlformats.org/officeDocument/2006/relationships/hyperlink" Target="http://www.datamartist.com/" TargetMode="External"/><Relationship Id="rId22" Type="http://schemas.openxmlformats.org/officeDocument/2006/relationships/hyperlink" Target="https://www.knime.com/downloads/full-licens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89F2-74B8-474A-91B1-5F9C4D1BB9D9}">
  <sheetPr codeName="Sheet3"/>
  <dimension ref="A1:F33"/>
  <sheetViews>
    <sheetView workbookViewId="0">
      <selection activeCell="H12" sqref="H12"/>
    </sheetView>
  </sheetViews>
  <sheetFormatPr defaultColWidth="8.85546875" defaultRowHeight="15"/>
  <cols>
    <col min="1" max="1" width="4.28515625" style="7" customWidth="1"/>
    <col min="2" max="2" width="4" style="7" bestFit="1" customWidth="1"/>
    <col min="3" max="3" width="8.85546875" style="7"/>
    <col min="4" max="4" width="18.7109375" style="7" customWidth="1"/>
    <col min="5" max="5" width="203.7109375" style="9" customWidth="1"/>
    <col min="6" max="6" width="4.5703125" style="7" customWidth="1"/>
    <col min="7" max="16384" width="8.85546875" style="7"/>
  </cols>
  <sheetData>
    <row r="1" spans="1:6" ht="23.45" customHeight="1">
      <c r="A1" s="17"/>
      <c r="B1" s="26" t="s">
        <v>118</v>
      </c>
      <c r="C1" s="26" t="s">
        <v>0</v>
      </c>
      <c r="D1" s="26" t="s">
        <v>13</v>
      </c>
      <c r="E1" s="27" t="s">
        <v>14</v>
      </c>
      <c r="F1" s="17"/>
    </row>
    <row r="2" spans="1:6" s="8" customFormat="1">
      <c r="A2" s="19"/>
      <c r="B2" s="28">
        <v>1</v>
      </c>
      <c r="C2" s="28" t="s">
        <v>1</v>
      </c>
      <c r="D2" s="28" t="s">
        <v>15</v>
      </c>
      <c r="E2" s="28" t="s">
        <v>108</v>
      </c>
      <c r="F2" s="19"/>
    </row>
    <row r="3" spans="1:6" s="8" customFormat="1" ht="30">
      <c r="A3" s="19"/>
      <c r="B3" s="10">
        <v>1.1000000000000001</v>
      </c>
      <c r="C3" s="11" t="s">
        <v>2</v>
      </c>
      <c r="D3" s="11" t="s">
        <v>115</v>
      </c>
      <c r="E3" s="11" t="s">
        <v>103</v>
      </c>
      <c r="F3" s="19"/>
    </row>
    <row r="4" spans="1:6" s="8" customFormat="1" ht="30">
      <c r="A4" s="19"/>
      <c r="B4" s="10">
        <v>1.2</v>
      </c>
      <c r="C4" s="11" t="s">
        <v>3</v>
      </c>
      <c r="D4" s="11" t="s">
        <v>51</v>
      </c>
      <c r="E4" s="11" t="s">
        <v>104</v>
      </c>
      <c r="F4" s="19"/>
    </row>
    <row r="5" spans="1:6" s="8" customFormat="1" ht="40.9" customHeight="1">
      <c r="A5" s="19"/>
      <c r="B5" s="10">
        <v>1.3</v>
      </c>
      <c r="C5" s="10" t="s">
        <v>4</v>
      </c>
      <c r="D5" s="10" t="s">
        <v>50</v>
      </c>
      <c r="E5" s="11" t="s">
        <v>107</v>
      </c>
      <c r="F5" s="19"/>
    </row>
    <row r="6" spans="1:6" s="8" customFormat="1">
      <c r="A6" s="19"/>
      <c r="B6" s="28">
        <v>2</v>
      </c>
      <c r="C6" s="28" t="s">
        <v>5</v>
      </c>
      <c r="D6" s="28" t="s">
        <v>49</v>
      </c>
      <c r="E6" s="28" t="s">
        <v>109</v>
      </c>
      <c r="F6" s="19"/>
    </row>
    <row r="7" spans="1:6" s="8" customFormat="1" ht="30">
      <c r="A7" s="19"/>
      <c r="B7" s="10">
        <v>2.1</v>
      </c>
      <c r="C7" s="11" t="s">
        <v>6</v>
      </c>
      <c r="D7" s="11" t="s">
        <v>52</v>
      </c>
      <c r="E7" s="11" t="s">
        <v>110</v>
      </c>
      <c r="F7" s="19"/>
    </row>
    <row r="8" spans="1:6" s="8" customFormat="1">
      <c r="A8" s="19"/>
      <c r="B8" s="10">
        <v>2.2000000000000002</v>
      </c>
      <c r="C8" s="11" t="s">
        <v>7</v>
      </c>
      <c r="D8" s="11" t="s">
        <v>53</v>
      </c>
      <c r="E8" s="11" t="s">
        <v>111</v>
      </c>
      <c r="F8" s="19"/>
    </row>
    <row r="9" spans="1:6" s="8" customFormat="1">
      <c r="A9" s="19"/>
      <c r="B9" s="10">
        <v>2.2999999999999998</v>
      </c>
      <c r="C9" s="11" t="s">
        <v>8</v>
      </c>
      <c r="D9" s="11" t="s">
        <v>55</v>
      </c>
      <c r="E9" s="11" t="s">
        <v>112</v>
      </c>
      <c r="F9" s="19"/>
    </row>
    <row r="10" spans="1:6" s="8" customFormat="1" ht="40.15" customHeight="1">
      <c r="A10" s="19"/>
      <c r="B10" s="10">
        <v>2.4</v>
      </c>
      <c r="C10" s="11" t="s">
        <v>9</v>
      </c>
      <c r="D10" s="11" t="s">
        <v>57</v>
      </c>
      <c r="E10" s="11" t="s">
        <v>113</v>
      </c>
      <c r="F10" s="19"/>
    </row>
    <row r="11" spans="1:6" s="8" customFormat="1" ht="45">
      <c r="A11" s="19"/>
      <c r="B11" s="28">
        <v>3</v>
      </c>
      <c r="C11" s="28" t="s">
        <v>10</v>
      </c>
      <c r="D11" s="28" t="s">
        <v>64</v>
      </c>
      <c r="E11" s="28" t="s">
        <v>114</v>
      </c>
      <c r="F11" s="19"/>
    </row>
    <row r="12" spans="1:6" s="8" customFormat="1" ht="45">
      <c r="A12" s="19"/>
      <c r="B12" s="10">
        <v>3.1</v>
      </c>
      <c r="C12" s="11" t="s">
        <v>11</v>
      </c>
      <c r="D12" s="11" t="s">
        <v>65</v>
      </c>
      <c r="E12" s="11" t="s">
        <v>116</v>
      </c>
      <c r="F12" s="19"/>
    </row>
    <row r="13" spans="1:6" s="8" customFormat="1" ht="85.15" customHeight="1">
      <c r="A13" s="19"/>
      <c r="B13" s="10">
        <v>3.2</v>
      </c>
      <c r="C13" s="11" t="s">
        <v>12</v>
      </c>
      <c r="D13" s="11" t="s">
        <v>66</v>
      </c>
      <c r="E13" s="11" t="s">
        <v>117</v>
      </c>
      <c r="F13" s="19"/>
    </row>
    <row r="14" spans="1:6" s="8" customFormat="1" ht="30">
      <c r="A14" s="19"/>
      <c r="B14" s="10">
        <v>3.3</v>
      </c>
      <c r="C14" s="11" t="s">
        <v>336</v>
      </c>
      <c r="D14" s="11" t="s">
        <v>346</v>
      </c>
      <c r="E14" s="11" t="s">
        <v>368</v>
      </c>
      <c r="F14" s="19"/>
    </row>
    <row r="15" spans="1:6">
      <c r="A15" s="17"/>
      <c r="B15" s="28">
        <v>4</v>
      </c>
      <c r="C15" s="28" t="s">
        <v>123</v>
      </c>
      <c r="D15" s="28" t="s">
        <v>122</v>
      </c>
      <c r="E15" s="28" t="s">
        <v>202</v>
      </c>
      <c r="F15" s="17"/>
    </row>
    <row r="16" spans="1:6" ht="60">
      <c r="A16" s="17"/>
      <c r="B16" s="10">
        <v>4.0999999999999996</v>
      </c>
      <c r="C16" s="11" t="s">
        <v>200</v>
      </c>
      <c r="D16" s="11" t="s">
        <v>80</v>
      </c>
      <c r="E16" s="12" t="s">
        <v>201</v>
      </c>
      <c r="F16" s="17"/>
    </row>
    <row r="17" spans="1:6" ht="30">
      <c r="A17" s="17"/>
      <c r="B17" s="10">
        <v>4.2</v>
      </c>
      <c r="C17" s="11" t="s">
        <v>210</v>
      </c>
      <c r="D17" s="11" t="s">
        <v>209</v>
      </c>
      <c r="E17" s="11" t="s">
        <v>374</v>
      </c>
      <c r="F17" s="17"/>
    </row>
    <row r="18" spans="1:6">
      <c r="A18" s="17"/>
      <c r="B18" s="10">
        <v>4.3</v>
      </c>
      <c r="C18" s="11" t="s">
        <v>229</v>
      </c>
      <c r="D18" s="11" t="s">
        <v>230</v>
      </c>
      <c r="E18" s="11" t="s">
        <v>243</v>
      </c>
      <c r="F18" s="17"/>
    </row>
    <row r="19" spans="1:6">
      <c r="A19" s="17"/>
      <c r="B19" s="28">
        <v>5</v>
      </c>
      <c r="C19" s="28" t="s">
        <v>119</v>
      </c>
      <c r="D19" s="28" t="s">
        <v>120</v>
      </c>
      <c r="E19" s="28" t="s">
        <v>121</v>
      </c>
      <c r="F19" s="17"/>
    </row>
    <row r="20" spans="1:6">
      <c r="A20" s="17"/>
      <c r="B20" s="13">
        <v>5.0999999999999996</v>
      </c>
      <c r="C20" s="13" t="s">
        <v>139</v>
      </c>
      <c r="D20" s="13" t="s">
        <v>137</v>
      </c>
      <c r="E20" s="12" t="s">
        <v>138</v>
      </c>
      <c r="F20" s="17"/>
    </row>
    <row r="21" spans="1:6">
      <c r="A21" s="17"/>
      <c r="B21" s="13">
        <v>5.2</v>
      </c>
      <c r="C21" s="13" t="s">
        <v>141</v>
      </c>
      <c r="D21" s="13" t="s">
        <v>140</v>
      </c>
      <c r="E21" s="12" t="s">
        <v>147</v>
      </c>
      <c r="F21" s="17"/>
    </row>
    <row r="22" spans="1:6" ht="30">
      <c r="A22" s="17"/>
      <c r="B22" s="13">
        <v>5.3</v>
      </c>
      <c r="C22" s="13" t="s">
        <v>143</v>
      </c>
      <c r="D22" s="12" t="s">
        <v>142</v>
      </c>
      <c r="E22" s="12" t="s">
        <v>144</v>
      </c>
      <c r="F22" s="17"/>
    </row>
    <row r="23" spans="1:6" ht="40.9" customHeight="1">
      <c r="A23" s="17"/>
      <c r="B23" s="17"/>
      <c r="C23" s="17"/>
      <c r="D23" s="17"/>
      <c r="E23" s="18"/>
      <c r="F23" s="17"/>
    </row>
    <row r="26" spans="1:6" ht="30">
      <c r="D26" s="14"/>
    </row>
    <row r="27" spans="1:6" ht="30">
      <c r="D27" s="14"/>
    </row>
    <row r="28" spans="1:6" ht="30">
      <c r="D28" s="14"/>
    </row>
    <row r="29" spans="1:6" ht="30">
      <c r="D29" s="14"/>
    </row>
    <row r="30" spans="1:6" ht="30">
      <c r="D30" s="14"/>
    </row>
    <row r="31" spans="1:6" ht="30">
      <c r="D31" s="14"/>
    </row>
    <row r="32" spans="1:6" ht="30">
      <c r="D32" s="14"/>
    </row>
    <row r="33" spans="4:4" ht="30">
      <c r="D33" s="1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35AE0-2426-4520-A143-A137A8281DFA}">
  <sheetPr codeName="Sheet1"/>
  <dimension ref="B1:D64"/>
  <sheetViews>
    <sheetView workbookViewId="0">
      <selection activeCell="D28" sqref="D28"/>
    </sheetView>
  </sheetViews>
  <sheetFormatPr defaultRowHeight="15"/>
  <cols>
    <col min="1" max="1" width="3.42578125" style="7" customWidth="1"/>
    <col min="2" max="2" width="68.85546875" style="9" customWidth="1"/>
    <col min="3" max="3" width="33.140625" style="7" customWidth="1"/>
    <col min="4" max="4" width="135.5703125" style="9" customWidth="1"/>
    <col min="5" max="16384" width="9.140625" style="7"/>
  </cols>
  <sheetData>
    <row r="1" spans="2:4" ht="7.5" customHeight="1"/>
    <row r="2" spans="2:4" ht="39" customHeight="1" thickBot="1">
      <c r="B2" s="72" t="s">
        <v>382</v>
      </c>
      <c r="C2" s="72" t="s">
        <v>35</v>
      </c>
      <c r="D2" s="72" t="s">
        <v>383</v>
      </c>
    </row>
    <row r="3" spans="2:4">
      <c r="B3" s="117" t="s">
        <v>433</v>
      </c>
      <c r="C3" s="120" t="s">
        <v>99</v>
      </c>
      <c r="D3" s="66" t="s">
        <v>384</v>
      </c>
    </row>
    <row r="4" spans="2:4">
      <c r="B4" s="118"/>
      <c r="C4" s="121"/>
      <c r="D4" s="67" t="s">
        <v>385</v>
      </c>
    </row>
    <row r="5" spans="2:4">
      <c r="B5" s="118"/>
      <c r="C5" s="121"/>
      <c r="D5" s="67" t="s">
        <v>386</v>
      </c>
    </row>
    <row r="6" spans="2:4">
      <c r="B6" s="118"/>
      <c r="C6" s="121"/>
      <c r="D6" s="67" t="s">
        <v>387</v>
      </c>
    </row>
    <row r="7" spans="2:4">
      <c r="B7" s="118"/>
      <c r="C7" s="121"/>
      <c r="D7" s="68" t="s">
        <v>388</v>
      </c>
    </row>
    <row r="8" spans="2:4" ht="15.75" thickBot="1">
      <c r="B8" s="119"/>
      <c r="C8" s="122"/>
      <c r="D8" s="69" t="s">
        <v>389</v>
      </c>
    </row>
    <row r="9" spans="2:4">
      <c r="B9" s="117" t="s">
        <v>423</v>
      </c>
      <c r="C9" s="120" t="s">
        <v>99</v>
      </c>
      <c r="D9" s="66" t="s">
        <v>390</v>
      </c>
    </row>
    <row r="10" spans="2:4">
      <c r="B10" s="118"/>
      <c r="C10" s="121"/>
      <c r="D10" s="67" t="s">
        <v>391</v>
      </c>
    </row>
    <row r="11" spans="2:4" ht="15.75" thickBot="1">
      <c r="B11" s="119"/>
      <c r="C11" s="122"/>
      <c r="D11" s="70" t="s">
        <v>392</v>
      </c>
    </row>
    <row r="12" spans="2:4">
      <c r="B12" s="117" t="s">
        <v>434</v>
      </c>
      <c r="C12" s="120" t="s">
        <v>99</v>
      </c>
      <c r="D12" s="71" t="s">
        <v>393</v>
      </c>
    </row>
    <row r="13" spans="2:4">
      <c r="B13" s="118"/>
      <c r="C13" s="121"/>
      <c r="D13" s="68" t="s">
        <v>394</v>
      </c>
    </row>
    <row r="14" spans="2:4">
      <c r="B14" s="118"/>
      <c r="C14" s="121"/>
      <c r="D14" s="68" t="s">
        <v>395</v>
      </c>
    </row>
    <row r="15" spans="2:4">
      <c r="B15" s="118"/>
      <c r="C15" s="121"/>
      <c r="D15" s="67" t="s">
        <v>396</v>
      </c>
    </row>
    <row r="16" spans="2:4">
      <c r="B16" s="118"/>
      <c r="C16" s="121"/>
      <c r="D16" s="68" t="s">
        <v>397</v>
      </c>
    </row>
    <row r="17" spans="2:4">
      <c r="B17" s="118"/>
      <c r="C17" s="121"/>
      <c r="D17" s="67" t="s">
        <v>398</v>
      </c>
    </row>
    <row r="18" spans="2:4" ht="15.75" thickBot="1">
      <c r="B18" s="119"/>
      <c r="C18" s="122"/>
      <c r="D18" s="69" t="s">
        <v>399</v>
      </c>
    </row>
    <row r="19" spans="2:4">
      <c r="B19" s="117" t="s">
        <v>424</v>
      </c>
      <c r="C19" s="120" t="s">
        <v>99</v>
      </c>
      <c r="D19" s="71" t="s">
        <v>400</v>
      </c>
    </row>
    <row r="20" spans="2:4">
      <c r="B20" s="118"/>
      <c r="C20" s="121"/>
      <c r="D20" s="68" t="s">
        <v>401</v>
      </c>
    </row>
    <row r="21" spans="2:4">
      <c r="B21" s="118"/>
      <c r="C21" s="121"/>
      <c r="D21" s="68" t="s">
        <v>402</v>
      </c>
    </row>
    <row r="22" spans="2:4" ht="15.75" thickBot="1">
      <c r="B22" s="119"/>
      <c r="C22" s="122"/>
      <c r="D22" s="69" t="s">
        <v>403</v>
      </c>
    </row>
    <row r="23" spans="2:4">
      <c r="B23" s="117" t="s">
        <v>425</v>
      </c>
      <c r="C23" s="120" t="s">
        <v>97</v>
      </c>
      <c r="D23" s="71" t="s">
        <v>404</v>
      </c>
    </row>
    <row r="24" spans="2:4" ht="20.25" customHeight="1" thickBot="1">
      <c r="B24" s="119"/>
      <c r="C24" s="122"/>
      <c r="D24" s="69" t="s">
        <v>405</v>
      </c>
    </row>
    <row r="25" spans="2:4" ht="30.75" thickBot="1">
      <c r="B25" s="73" t="s">
        <v>426</v>
      </c>
      <c r="C25" s="74" t="s">
        <v>99</v>
      </c>
      <c r="D25" s="75" t="s">
        <v>406</v>
      </c>
    </row>
    <row r="26" spans="2:4">
      <c r="B26" s="117" t="s">
        <v>427</v>
      </c>
      <c r="C26" s="120" t="s">
        <v>99</v>
      </c>
      <c r="D26" s="71" t="s">
        <v>407</v>
      </c>
    </row>
    <row r="27" spans="2:4" ht="37.5" customHeight="1" thickBot="1">
      <c r="B27" s="119"/>
      <c r="C27" s="122"/>
      <c r="D27" s="69" t="s">
        <v>408</v>
      </c>
    </row>
    <row r="28" spans="2:4">
      <c r="B28" s="117" t="s">
        <v>428</v>
      </c>
      <c r="C28" s="120" t="s">
        <v>99</v>
      </c>
      <c r="D28" s="71" t="s">
        <v>409</v>
      </c>
    </row>
    <row r="29" spans="2:4" ht="20.25" customHeight="1" thickBot="1">
      <c r="B29" s="119"/>
      <c r="C29" s="122"/>
      <c r="D29" s="69" t="s">
        <v>410</v>
      </c>
    </row>
    <row r="30" spans="2:4">
      <c r="B30" s="117" t="s">
        <v>429</v>
      </c>
      <c r="C30" s="120" t="s">
        <v>99</v>
      </c>
      <c r="D30" s="71" t="s">
        <v>411</v>
      </c>
    </row>
    <row r="31" spans="2:4" ht="15.75" thickBot="1">
      <c r="B31" s="119"/>
      <c r="C31" s="122"/>
      <c r="D31" s="69" t="s">
        <v>412</v>
      </c>
    </row>
    <row r="32" spans="2:4" ht="30.75" thickBot="1">
      <c r="B32" s="79" t="s">
        <v>430</v>
      </c>
      <c r="C32" s="80" t="s">
        <v>99</v>
      </c>
      <c r="D32" s="81" t="s">
        <v>421</v>
      </c>
    </row>
    <row r="33" spans="2:4">
      <c r="B33" s="117" t="s">
        <v>431</v>
      </c>
      <c r="C33" s="120" t="s">
        <v>99</v>
      </c>
      <c r="D33" s="71" t="s">
        <v>413</v>
      </c>
    </row>
    <row r="34" spans="2:4">
      <c r="B34" s="118"/>
      <c r="C34" s="121"/>
      <c r="D34" s="68" t="s">
        <v>414</v>
      </c>
    </row>
    <row r="35" spans="2:4">
      <c r="B35" s="118"/>
      <c r="C35" s="121"/>
      <c r="D35" s="68" t="s">
        <v>415</v>
      </c>
    </row>
    <row r="36" spans="2:4">
      <c r="B36" s="118"/>
      <c r="C36" s="121"/>
      <c r="D36" s="68" t="s">
        <v>416</v>
      </c>
    </row>
    <row r="37" spans="2:4" ht="15.75" thickBot="1">
      <c r="B37" s="119"/>
      <c r="C37" s="122"/>
      <c r="D37" s="69" t="s">
        <v>417</v>
      </c>
    </row>
    <row r="38" spans="2:4" ht="30">
      <c r="B38" s="117" t="s">
        <v>432</v>
      </c>
      <c r="C38" s="120" t="s">
        <v>99</v>
      </c>
      <c r="D38" s="71" t="s">
        <v>418</v>
      </c>
    </row>
    <row r="39" spans="2:4">
      <c r="B39" s="118"/>
      <c r="C39" s="121"/>
      <c r="D39" s="68" t="s">
        <v>419</v>
      </c>
    </row>
    <row r="40" spans="2:4" ht="15.75" thickBot="1">
      <c r="B40" s="119"/>
      <c r="C40" s="122"/>
      <c r="D40" s="82" t="s">
        <v>420</v>
      </c>
    </row>
    <row r="41" spans="2:4">
      <c r="B41" s="117" t="s">
        <v>422</v>
      </c>
      <c r="C41" s="120" t="s">
        <v>99</v>
      </c>
      <c r="D41" s="71" t="s">
        <v>413</v>
      </c>
    </row>
    <row r="42" spans="2:4">
      <c r="B42" s="118"/>
      <c r="C42" s="121"/>
      <c r="D42" s="68" t="s">
        <v>414</v>
      </c>
    </row>
    <row r="43" spans="2:4">
      <c r="B43" s="118"/>
      <c r="C43" s="121"/>
      <c r="D43" s="68" t="s">
        <v>415</v>
      </c>
    </row>
    <row r="44" spans="2:4">
      <c r="B44" s="118"/>
      <c r="C44" s="121"/>
      <c r="D44" s="68" t="s">
        <v>416</v>
      </c>
    </row>
    <row r="45" spans="2:4" ht="15.75" thickBot="1">
      <c r="B45" s="119"/>
      <c r="C45" s="122"/>
      <c r="D45" s="69" t="s">
        <v>417</v>
      </c>
    </row>
    <row r="46" spans="2:4" ht="30.75" thickBot="1">
      <c r="B46" s="79" t="s">
        <v>435</v>
      </c>
      <c r="C46" s="80" t="s">
        <v>99</v>
      </c>
      <c r="D46" s="81" t="s">
        <v>436</v>
      </c>
    </row>
    <row r="47" spans="2:4" ht="30.75" thickBot="1">
      <c r="B47" s="73" t="s">
        <v>438</v>
      </c>
      <c r="C47" s="80" t="s">
        <v>97</v>
      </c>
      <c r="D47" s="81" t="s">
        <v>437</v>
      </c>
    </row>
    <row r="48" spans="2:4" ht="15" customHeight="1">
      <c r="B48" s="117" t="s">
        <v>454</v>
      </c>
      <c r="C48" s="120" t="s">
        <v>99</v>
      </c>
      <c r="D48" s="86" t="s">
        <v>439</v>
      </c>
    </row>
    <row r="49" spans="2:4">
      <c r="B49" s="118"/>
      <c r="C49" s="121"/>
      <c r="D49" s="87" t="s">
        <v>440</v>
      </c>
    </row>
    <row r="50" spans="2:4" ht="15.75" thickBot="1">
      <c r="B50" s="119"/>
      <c r="C50" s="122"/>
      <c r="D50" s="88" t="s">
        <v>441</v>
      </c>
    </row>
    <row r="51" spans="2:4" ht="21.75" customHeight="1">
      <c r="B51" s="117" t="s">
        <v>442</v>
      </c>
      <c r="C51" s="120" t="s">
        <v>97</v>
      </c>
      <c r="D51" s="86" t="s">
        <v>444</v>
      </c>
    </row>
    <row r="52" spans="2:4" ht="15.75" thickBot="1">
      <c r="B52" s="119"/>
      <c r="C52" s="122"/>
      <c r="D52" s="88" t="s">
        <v>443</v>
      </c>
    </row>
    <row r="53" spans="2:4" ht="36" customHeight="1" thickBot="1">
      <c r="B53" s="79" t="s">
        <v>447</v>
      </c>
      <c r="C53" s="80" t="s">
        <v>99</v>
      </c>
      <c r="D53" s="81" t="s">
        <v>445</v>
      </c>
    </row>
    <row r="54" spans="2:4" ht="30.75" thickBot="1">
      <c r="B54" s="79" t="s">
        <v>448</v>
      </c>
      <c r="C54" s="80" t="s">
        <v>99</v>
      </c>
      <c r="D54" s="81" t="s">
        <v>446</v>
      </c>
    </row>
    <row r="55" spans="2:4" ht="45.75" thickBot="1">
      <c r="B55" s="79" t="s">
        <v>453</v>
      </c>
      <c r="C55" s="80" t="s">
        <v>99</v>
      </c>
      <c r="D55" s="81" t="s">
        <v>449</v>
      </c>
    </row>
    <row r="56" spans="2:4" ht="30.75" thickBot="1">
      <c r="B56" s="79" t="s">
        <v>452</v>
      </c>
      <c r="C56" s="80" t="s">
        <v>99</v>
      </c>
      <c r="D56" s="81" t="s">
        <v>451</v>
      </c>
    </row>
    <row r="57" spans="2:4" ht="30.75" thickBot="1">
      <c r="B57" s="76" t="s">
        <v>455</v>
      </c>
      <c r="C57" s="77" t="s">
        <v>99</v>
      </c>
      <c r="D57" s="78" t="s">
        <v>456</v>
      </c>
    </row>
    <row r="58" spans="2:4">
      <c r="B58" s="124" t="s">
        <v>457</v>
      </c>
      <c r="C58" s="123" t="s">
        <v>99</v>
      </c>
      <c r="D58" s="89" t="s">
        <v>458</v>
      </c>
    </row>
    <row r="59" spans="2:4" ht="15.75" thickBot="1">
      <c r="B59" s="119"/>
      <c r="C59" s="122"/>
      <c r="D59" s="88" t="s">
        <v>459</v>
      </c>
    </row>
    <row r="60" spans="2:4" ht="30.75" thickBot="1">
      <c r="B60" s="79" t="s">
        <v>460</v>
      </c>
      <c r="C60" s="80"/>
      <c r="D60" s="81"/>
    </row>
    <row r="61" spans="2:4" ht="45.75" thickBot="1">
      <c r="B61" s="79" t="s">
        <v>462</v>
      </c>
      <c r="C61" s="80"/>
      <c r="D61" s="81" t="s">
        <v>461</v>
      </c>
    </row>
    <row r="62" spans="2:4" ht="30.75" thickBot="1">
      <c r="B62" s="79" t="s">
        <v>464</v>
      </c>
      <c r="C62" s="80" t="s">
        <v>99</v>
      </c>
      <c r="D62" s="81" t="s">
        <v>463</v>
      </c>
    </row>
    <row r="63" spans="2:4" ht="30.75" thickBot="1">
      <c r="B63" s="79" t="s">
        <v>466</v>
      </c>
      <c r="C63" s="80" t="s">
        <v>450</v>
      </c>
      <c r="D63" s="81" t="s">
        <v>467</v>
      </c>
    </row>
    <row r="64" spans="2:4" ht="30.75" thickBot="1">
      <c r="B64" s="76" t="s">
        <v>468</v>
      </c>
      <c r="C64" s="77" t="s">
        <v>99</v>
      </c>
      <c r="D64" s="78" t="s">
        <v>469</v>
      </c>
    </row>
  </sheetData>
  <mergeCells count="28">
    <mergeCell ref="C58:C59"/>
    <mergeCell ref="B58:B59"/>
    <mergeCell ref="B41:B45"/>
    <mergeCell ref="C41:C45"/>
    <mergeCell ref="B48:B50"/>
    <mergeCell ref="C48:C50"/>
    <mergeCell ref="B51:B52"/>
    <mergeCell ref="C51:C52"/>
    <mergeCell ref="C28:C29"/>
    <mergeCell ref="B28:B29"/>
    <mergeCell ref="C30:C31"/>
    <mergeCell ref="B30:B31"/>
    <mergeCell ref="C38:C40"/>
    <mergeCell ref="B38:B40"/>
    <mergeCell ref="C33:C37"/>
    <mergeCell ref="B33:B37"/>
    <mergeCell ref="B19:B22"/>
    <mergeCell ref="C19:C22"/>
    <mergeCell ref="B23:B24"/>
    <mergeCell ref="C23:C24"/>
    <mergeCell ref="B26:B27"/>
    <mergeCell ref="C26:C27"/>
    <mergeCell ref="B3:B8"/>
    <mergeCell ref="C3:C8"/>
    <mergeCell ref="B9:B11"/>
    <mergeCell ref="C9:C11"/>
    <mergeCell ref="B12:B18"/>
    <mergeCell ref="C12:C18"/>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E5C3D-D648-4AA2-9256-87A9174FC43A}">
  <sheetPr codeName="Sheet16"/>
  <dimension ref="B1:Q31"/>
  <sheetViews>
    <sheetView tabSelected="1" topLeftCell="A2" workbookViewId="0">
      <selection activeCell="B7" sqref="B7"/>
    </sheetView>
  </sheetViews>
  <sheetFormatPr defaultColWidth="8.85546875" defaultRowHeight="15"/>
  <cols>
    <col min="1" max="1" width="2.5703125" style="24" customWidth="1"/>
    <col min="2" max="2" width="38.28515625" style="61" customWidth="1"/>
    <col min="3" max="11" width="14.140625" style="24" customWidth="1"/>
    <col min="12" max="12" width="15.85546875" style="24" customWidth="1"/>
    <col min="13" max="17" width="14.140625" style="24" customWidth="1"/>
    <col min="18" max="16384" width="8.85546875" style="24"/>
  </cols>
  <sheetData>
    <row r="1" spans="2:17" ht="15" hidden="1" customHeight="1" thickBot="1">
      <c r="B1" s="41"/>
      <c r="C1" s="40">
        <f>SUMIF(FeatureTree!$F$2:$F$77,C$3,FeatureTree!$E$2:$E$77)</f>
        <v>17</v>
      </c>
      <c r="D1" s="40">
        <f>SUMIF(FeatureTree!$F$2:$F$77,D$3,FeatureTree!$E$2:$E$77)</f>
        <v>5</v>
      </c>
      <c r="E1" s="40">
        <f>SUMIF(FeatureTree!$F$2:$F$77,E$3,FeatureTree!$E$2:$E$77)</f>
        <v>10</v>
      </c>
      <c r="F1" s="40">
        <f>SUMIF(FeatureTree!$F$2:$F$77,F$3,FeatureTree!$E$2:$E$77)</f>
        <v>20</v>
      </c>
      <c r="G1" s="40">
        <f>SUMIF(FeatureTree!$F$2:$F$77,G$3,FeatureTree!$E$2:$E$77)</f>
        <v>25</v>
      </c>
      <c r="H1" s="40">
        <f>SUMIF(FeatureTree!$F$2:$F$77,H$3,FeatureTree!$E$2:$E$77)</f>
        <v>20</v>
      </c>
      <c r="I1" s="40">
        <f>SUMIF(FeatureTree!$F$2:$F$77,I$3,FeatureTree!$E$2:$E$77)</f>
        <v>25</v>
      </c>
      <c r="J1" s="40">
        <f>SUMIF(FeatureTree!$F$2:$F$77,J$3,FeatureTree!$E$2:$E$77)</f>
        <v>5</v>
      </c>
      <c r="K1" s="40">
        <f>SUMIF(FeatureTree!$F$2:$F$77,K$3,FeatureTree!$E$2:$E$77)</f>
        <v>15</v>
      </c>
      <c r="L1" s="40">
        <f>SUMIF(FeatureTree!$F$2:$F$77,L$3,FeatureTree!$E$2:$E$77)</f>
        <v>45</v>
      </c>
      <c r="M1" s="40">
        <f>SUMIF(FeatureTree!$F$2:$F$77,M$3,FeatureTree!$E$2:$E$77)</f>
        <v>15</v>
      </c>
      <c r="N1" s="40">
        <f>SUMIF(FeatureTree!$F$2:$F$77,N$3,FeatureTree!$E$2:$E$77)</f>
        <v>35</v>
      </c>
      <c r="O1" s="40">
        <f>SUMIF(FeatureTree!$F$2:$F$77,O$3,FeatureTree!$E$2:$E$77)</f>
        <v>30</v>
      </c>
      <c r="P1" s="40">
        <f>SUMIF(FeatureTree!$F$2:$F$77,P$3,FeatureTree!$E$2:$E$77)</f>
        <v>5</v>
      </c>
      <c r="Q1" s="40">
        <f>SUMIF(FeatureTree!$F$2:$F$77,Q$3,FeatureTree!$E$2:$E$77)</f>
        <v>5</v>
      </c>
    </row>
    <row r="2" spans="2:17" s="59" customFormat="1" ht="80.25" customHeight="1">
      <c r="B2" s="96"/>
      <c r="C2" s="97" t="s">
        <v>335</v>
      </c>
      <c r="D2" s="97" t="s">
        <v>335</v>
      </c>
      <c r="E2" s="97" t="s">
        <v>335</v>
      </c>
      <c r="F2" s="97" t="s">
        <v>335</v>
      </c>
      <c r="G2" s="98" t="s">
        <v>332</v>
      </c>
      <c r="H2" s="98" t="s">
        <v>332</v>
      </c>
      <c r="I2" s="98" t="s">
        <v>332</v>
      </c>
      <c r="J2" s="98" t="s">
        <v>332</v>
      </c>
      <c r="K2" s="98" t="s">
        <v>332</v>
      </c>
      <c r="L2" s="98" t="s">
        <v>334</v>
      </c>
      <c r="M2" s="98" t="s">
        <v>120</v>
      </c>
      <c r="N2" s="98" t="s">
        <v>122</v>
      </c>
      <c r="O2" s="98" t="s">
        <v>122</v>
      </c>
      <c r="P2" s="98" t="s">
        <v>122</v>
      </c>
      <c r="Q2" s="99" t="s">
        <v>122</v>
      </c>
    </row>
    <row r="3" spans="2:17" s="60" customFormat="1" ht="69" customHeight="1" thickBot="1">
      <c r="B3" s="100"/>
      <c r="C3" s="101" t="s">
        <v>35</v>
      </c>
      <c r="D3" s="102" t="s">
        <v>172</v>
      </c>
      <c r="E3" s="102" t="s">
        <v>176</v>
      </c>
      <c r="F3" s="102" t="s">
        <v>180</v>
      </c>
      <c r="G3" s="102" t="s">
        <v>346</v>
      </c>
      <c r="H3" s="102" t="s">
        <v>173</v>
      </c>
      <c r="I3" s="102" t="s">
        <v>174</v>
      </c>
      <c r="J3" s="102" t="s">
        <v>182</v>
      </c>
      <c r="K3" s="102" t="s">
        <v>175</v>
      </c>
      <c r="L3" s="102" t="s">
        <v>170</v>
      </c>
      <c r="M3" s="102" t="s">
        <v>171</v>
      </c>
      <c r="N3" s="102" t="s">
        <v>177</v>
      </c>
      <c r="O3" s="102" t="s">
        <v>181</v>
      </c>
      <c r="P3" s="102" t="s">
        <v>178</v>
      </c>
      <c r="Q3" s="103" t="s">
        <v>179</v>
      </c>
    </row>
    <row r="4" spans="2:17" ht="21.95" customHeight="1">
      <c r="B4" s="104" t="s">
        <v>169</v>
      </c>
      <c r="C4" s="105">
        <f>SUMIFS(ToolFeatures[Weight],ToolFeatures[TOOL],$B4,ToolFeatures[Category],C$3)/C$1</f>
        <v>0.29411764705882354</v>
      </c>
      <c r="D4" s="105">
        <f>SUMIFS(ToolFeatures[Weight],ToolFeatures[TOOL],$B4,ToolFeatures[Category],D$3)/D$1</f>
        <v>1</v>
      </c>
      <c r="E4" s="105">
        <f>SUMIFS(ToolFeatures[Weight],ToolFeatures[TOOL],$B4,ToolFeatures[Category],E$3)/E$1</f>
        <v>1</v>
      </c>
      <c r="F4" s="105">
        <f>SUMIFS(ToolFeatures[Weight],ToolFeatures[TOOL],$B4,ToolFeatures[Category],F$3)/F$1</f>
        <v>0.75</v>
      </c>
      <c r="G4" s="106">
        <f>SUMIFS(ToolFeatures[Weight],ToolFeatures[TOOL],$B4,ToolFeatures[Category],G$3)/G$1</f>
        <v>0</v>
      </c>
      <c r="H4" s="105">
        <f>SUMIFS(ToolFeatures[Weight],ToolFeatures[TOOL],$B4,ToolFeatures[Category],H$3)/H$1</f>
        <v>1</v>
      </c>
      <c r="I4" s="105">
        <f>SUMIFS(ToolFeatures[Weight],ToolFeatures[TOOL],$B4,ToolFeatures[Category],I$3)/I$1</f>
        <v>1</v>
      </c>
      <c r="J4" s="105">
        <f>SUMIFS(ToolFeatures[Weight],ToolFeatures[TOOL],$B4,ToolFeatures[Category],J$3)/J$1</f>
        <v>1</v>
      </c>
      <c r="K4" s="105">
        <f>SUMIFS(ToolFeatures[Weight],ToolFeatures[TOOL],$B4,ToolFeatures[Category],K$3)/K$1</f>
        <v>1</v>
      </c>
      <c r="L4" s="105">
        <f>SUMIFS(ToolFeatures[Weight],ToolFeatures[TOOL],$B4,ToolFeatures[Category],L$3)/L$1</f>
        <v>1</v>
      </c>
      <c r="M4" s="105">
        <f>SUMIFS(ToolFeatures[Weight],ToolFeatures[TOOL],$B4,ToolFeatures[Category],M$3)/M$1</f>
        <v>1</v>
      </c>
      <c r="N4" s="105">
        <f>SUMIFS(ToolFeatures[Weight],ToolFeatures[TOOL],$B4,ToolFeatures[Category],N$3)/N$1</f>
        <v>0.42857142857142855</v>
      </c>
      <c r="O4" s="105">
        <f>SUMIFS(ToolFeatures[Weight],ToolFeatures[TOOL],$B4,ToolFeatures[Category],O$3)/O$1</f>
        <v>0.66666666666666663</v>
      </c>
      <c r="P4" s="105">
        <f>SUMIFS(ToolFeatures[Weight],ToolFeatures[TOOL],$B4,ToolFeatures[Category],P$3)/P$1</f>
        <v>0</v>
      </c>
      <c r="Q4" s="105">
        <f>SUMIFS(ToolFeatures[Weight],ToolFeatures[TOOL],$B4,ToolFeatures[Category],Q$3)/Q$1</f>
        <v>0</v>
      </c>
    </row>
    <row r="5" spans="2:17" ht="21.95" customHeight="1">
      <c r="B5" s="104" t="s">
        <v>245</v>
      </c>
      <c r="C5" s="107">
        <f>SUMIFS(ToolFeatures[Weight],ToolFeatures[TOOL],$B5,ToolFeatures[Category],C$3)/C$1</f>
        <v>0.29411764705882354</v>
      </c>
      <c r="D5" s="105">
        <f>SUMIFS(ToolFeatures[Weight],ToolFeatures[TOOL],$B5,ToolFeatures[Category],D$3)/D$1</f>
        <v>0</v>
      </c>
      <c r="E5" s="105">
        <f>SUMIFS(ToolFeatures[Weight],ToolFeatures[TOOL],$B5,ToolFeatures[Category],E$3)/E$1</f>
        <v>0</v>
      </c>
      <c r="F5" s="105">
        <f>SUMIFS(ToolFeatures[Weight],ToolFeatures[TOOL],$B5,ToolFeatures[Category],F$3)/F$1</f>
        <v>0</v>
      </c>
      <c r="G5" s="106">
        <f>SUMIFS(ToolFeatures[Weight],ToolFeatures[TOOL],$B5,ToolFeatures[Category],G$3)/G$1</f>
        <v>0</v>
      </c>
      <c r="H5" s="105">
        <f>SUMIFS(ToolFeatures[Weight],ToolFeatures[TOOL],$B5,ToolFeatures[Category],H$3)/H$1</f>
        <v>0</v>
      </c>
      <c r="I5" s="105">
        <f>SUMIFS(ToolFeatures[Weight],ToolFeatures[TOOL],$B5,ToolFeatures[Category],I$3)/I$1</f>
        <v>0</v>
      </c>
      <c r="J5" s="105">
        <f>SUMIFS(ToolFeatures[Weight],ToolFeatures[TOOL],$B5,ToolFeatures[Category],J$3)/J$1</f>
        <v>0</v>
      </c>
      <c r="K5" s="105">
        <f>SUMIFS(ToolFeatures[Weight],ToolFeatures[TOOL],$B5,ToolFeatures[Category],K$3)/K$1</f>
        <v>0</v>
      </c>
      <c r="L5" s="105">
        <f>SUMIFS(ToolFeatures[Weight],ToolFeatures[TOOL],$B5,ToolFeatures[Category],L$3)/L$1</f>
        <v>1</v>
      </c>
      <c r="M5" s="105">
        <f>SUMIFS(ToolFeatures[Weight],ToolFeatures[TOOL],$B5,ToolFeatures[Category],M$3)/M$1</f>
        <v>0</v>
      </c>
      <c r="N5" s="105">
        <f>SUMIFS(ToolFeatures[Weight],ToolFeatures[TOOL],$B5,ToolFeatures[Category],N$3)/N$1</f>
        <v>0</v>
      </c>
      <c r="O5" s="105">
        <f>SUMIFS(ToolFeatures[Weight],ToolFeatures[TOOL],$B5,ToolFeatures[Category],O$3)/O$1</f>
        <v>0.33333333333333331</v>
      </c>
      <c r="P5" s="105">
        <f>SUMIFS(ToolFeatures[Weight],ToolFeatures[TOOL],$B5,ToolFeatures[Category],P$3)/P$1</f>
        <v>0</v>
      </c>
      <c r="Q5" s="105">
        <f>SUMIFS(ToolFeatures[Weight],ToolFeatures[TOOL],$B5,ToolFeatures[Category],Q$3)/Q$1</f>
        <v>0</v>
      </c>
    </row>
    <row r="6" spans="2:17" ht="21.95" customHeight="1">
      <c r="B6" s="108" t="s">
        <v>167</v>
      </c>
      <c r="C6" s="106">
        <f>SUMIFS(ToolFeatures[Weight],ToolFeatures[TOOL],$B6,ToolFeatures[Category],C$3)/C$1</f>
        <v>0.29411764705882354</v>
      </c>
      <c r="D6" s="106">
        <f>SUMIFS(ToolFeatures[Weight],ToolFeatures[TOOL],$B6,ToolFeatures[Category],D$3)/D$1</f>
        <v>1</v>
      </c>
      <c r="E6" s="106">
        <f>SUMIFS(ToolFeatures[Weight],ToolFeatures[TOOL],$B6,ToolFeatures[Category],E$3)/E$1</f>
        <v>1</v>
      </c>
      <c r="F6" s="106">
        <f>SUMIFS(ToolFeatures[Weight],ToolFeatures[TOOL],$B6,ToolFeatures[Category],F$3)/F$1</f>
        <v>0.25</v>
      </c>
      <c r="G6" s="106">
        <f>SUMIFS(ToolFeatures[Weight],ToolFeatures[TOOL],$B6,ToolFeatures[Category],G$3)/G$1</f>
        <v>0</v>
      </c>
      <c r="H6" s="106">
        <f>SUMIFS(ToolFeatures[Weight],ToolFeatures[TOOL],$B6,ToolFeatures[Category],H$3)/H$1</f>
        <v>0.5</v>
      </c>
      <c r="I6" s="106">
        <f>SUMIFS(ToolFeatures[Weight],ToolFeatures[TOOL],$B6,ToolFeatures[Category],I$3)/I$1</f>
        <v>1</v>
      </c>
      <c r="J6" s="106">
        <f>SUMIFS(ToolFeatures[Weight],ToolFeatures[TOOL],$B6,ToolFeatures[Category],J$3)/J$1</f>
        <v>1</v>
      </c>
      <c r="K6" s="106">
        <f>SUMIFS(ToolFeatures[Weight],ToolFeatures[TOOL],$B6,ToolFeatures[Category],K$3)/K$1</f>
        <v>0.66666666666666663</v>
      </c>
      <c r="L6" s="106">
        <f>SUMIFS(ToolFeatures[Weight],ToolFeatures[TOOL],$B6,ToolFeatures[Category],L$3)/L$1</f>
        <v>1</v>
      </c>
      <c r="M6" s="106">
        <f>SUMIFS(ToolFeatures[Weight],ToolFeatures[TOOL],$B6,ToolFeatures[Category],M$3)/M$1</f>
        <v>1</v>
      </c>
      <c r="N6" s="106">
        <f>SUMIFS(ToolFeatures[Weight],ToolFeatures[TOOL],$B6,ToolFeatures[Category],N$3)/N$1</f>
        <v>0</v>
      </c>
      <c r="O6" s="106">
        <f>SUMIFS(ToolFeatures[Weight],ToolFeatures[TOOL],$B6,ToolFeatures[Category],O$3)/O$1</f>
        <v>0.66666666666666663</v>
      </c>
      <c r="P6" s="106">
        <f>SUMIFS(ToolFeatures[Weight],ToolFeatures[TOOL],$B6,ToolFeatures[Category],P$3)/P$1</f>
        <v>0</v>
      </c>
      <c r="Q6" s="106">
        <f>SUMIFS(ToolFeatures[Weight],ToolFeatures[TOOL],$B6,ToolFeatures[Category],Q$3)/Q$1</f>
        <v>0</v>
      </c>
    </row>
    <row r="7" spans="2:17" ht="21.95" customHeight="1">
      <c r="B7" s="104" t="s">
        <v>168</v>
      </c>
      <c r="C7" s="105">
        <f>(SUMIFS(ToolFeatures[Weight],ToolFeatures[TOOL],$B7,ToolFeatures[Category],C$3)/C$1)</f>
        <v>0.29411764705882354</v>
      </c>
      <c r="D7" s="105">
        <f>SUMIFS(ToolFeatures[Weight],ToolFeatures[TOOL],$B7,ToolFeatures[Category],D$3)/D$1</f>
        <v>1</v>
      </c>
      <c r="E7" s="105">
        <f>SUMIFS(ToolFeatures[Weight],ToolFeatures[TOOL],$B7,ToolFeatures[Category],E$3)/E$1</f>
        <v>0.5</v>
      </c>
      <c r="F7" s="105">
        <f>SUMIFS(ToolFeatures[Weight],ToolFeatures[TOOL],$B7,ToolFeatures[Category],F$3)/F$1</f>
        <v>0.5</v>
      </c>
      <c r="G7" s="106">
        <f>SUMIFS(ToolFeatures[Weight],ToolFeatures[TOOL],$B7,ToolFeatures[Category],G$3)/G$1</f>
        <v>0</v>
      </c>
      <c r="H7" s="105">
        <f>SUMIFS(ToolFeatures[Weight],ToolFeatures[TOOL],$B7,ToolFeatures[Category],H$3)/H$1</f>
        <v>0.5</v>
      </c>
      <c r="I7" s="105">
        <f>SUMIFS(ToolFeatures[Weight],ToolFeatures[TOOL],$B7,ToolFeatures[Category],I$3)/I$1</f>
        <v>1</v>
      </c>
      <c r="J7" s="105">
        <f>SUMIFS(ToolFeatures[Weight],ToolFeatures[TOOL],$B7,ToolFeatures[Category],J$3)/J$1</f>
        <v>0</v>
      </c>
      <c r="K7" s="105">
        <f>SUMIFS(ToolFeatures[Weight],ToolFeatures[TOOL],$B7,ToolFeatures[Category],K$3)/K$1</f>
        <v>0.33333333333333331</v>
      </c>
      <c r="L7" s="105">
        <f>SUMIFS(ToolFeatures[Weight],ToolFeatures[TOOL],$B7,ToolFeatures[Category],L$3)/L$1</f>
        <v>1</v>
      </c>
      <c r="M7" s="105">
        <f>SUMIFS(ToolFeatures[Weight],ToolFeatures[TOOL],$B7,ToolFeatures[Category],M$3)/M$1</f>
        <v>1</v>
      </c>
      <c r="N7" s="105">
        <f>SUMIFS(ToolFeatures[Weight],ToolFeatures[TOOL],$B7,ToolFeatures[Category],N$3)/N$1</f>
        <v>0</v>
      </c>
      <c r="O7" s="105">
        <f>SUMIFS(ToolFeatures[Weight],ToolFeatures[TOOL],$B7,ToolFeatures[Category],O$3)/O$1</f>
        <v>0.66666666666666663</v>
      </c>
      <c r="P7" s="105">
        <f>SUMIFS(ToolFeatures[Weight],ToolFeatures[TOOL],$B7,ToolFeatures[Category],P$3)/P$1</f>
        <v>0</v>
      </c>
      <c r="Q7" s="105">
        <f>SUMIFS(ToolFeatures[Weight],ToolFeatures[TOOL],$B7,ToolFeatures[Category],Q$3)/Q$1</f>
        <v>0</v>
      </c>
    </row>
    <row r="8" spans="2:17" ht="21.95" customHeight="1">
      <c r="B8" s="104" t="s">
        <v>148</v>
      </c>
      <c r="C8" s="105">
        <f>SUMIFS(ToolFeatures[Weight],ToolFeatures[TOOL],$B8,ToolFeatures[Category],C$3)/C$1</f>
        <v>0.17647058823529413</v>
      </c>
      <c r="D8" s="105">
        <f>SUMIFS(ToolFeatures[Weight],ToolFeatures[TOOL],$B8,ToolFeatures[Category],D$3)/D$1</f>
        <v>0</v>
      </c>
      <c r="E8" s="105">
        <f>SUMIFS(ToolFeatures[Weight],ToolFeatures[TOOL],$B8,ToolFeatures[Category],E$3)/E$1</f>
        <v>0</v>
      </c>
      <c r="F8" s="105">
        <f>SUMIFS(ToolFeatures[Weight],ToolFeatures[TOOL],$B8,ToolFeatures[Category],F$3)/F$1</f>
        <v>0</v>
      </c>
      <c r="G8" s="106">
        <f>SUMIFS(ToolFeatures[Weight],ToolFeatures[TOOL],$B8,ToolFeatures[Category],G$3)/G$1</f>
        <v>0</v>
      </c>
      <c r="H8" s="105">
        <f>SUMIFS(ToolFeatures[Weight],ToolFeatures[TOOL],$B8,ToolFeatures[Category],H$3)/H$1</f>
        <v>0.25</v>
      </c>
      <c r="I8" s="105">
        <f>SUMIFS(ToolFeatures[Weight],ToolFeatures[TOOL],$B8,ToolFeatures[Category],I$3)/I$1</f>
        <v>0.8</v>
      </c>
      <c r="J8" s="105">
        <f>SUMIFS(ToolFeatures[Weight],ToolFeatures[TOOL],$B8,ToolFeatures[Category],J$3)/J$1</f>
        <v>0</v>
      </c>
      <c r="K8" s="105">
        <f>SUMIFS(ToolFeatures[Weight],ToolFeatures[TOOL],$B8,ToolFeatures[Category],K$3)/K$1</f>
        <v>0.66666666666666663</v>
      </c>
      <c r="L8" s="105">
        <f>SUMIFS(ToolFeatures[Weight],ToolFeatures[TOOL],$B8,ToolFeatures[Category],L$3)/L$1</f>
        <v>1</v>
      </c>
      <c r="M8" s="105">
        <f>SUMIFS(ToolFeatures[Weight],ToolFeatures[TOOL],$B8,ToolFeatures[Category],M$3)/M$1</f>
        <v>0</v>
      </c>
      <c r="N8" s="105">
        <f>SUMIFS(ToolFeatures[Weight],ToolFeatures[TOOL],$B8,ToolFeatures[Category],N$3)/N$1</f>
        <v>0.42857142857142855</v>
      </c>
      <c r="O8" s="105">
        <f>SUMIFS(ToolFeatures[Weight],ToolFeatures[TOOL],$B8,ToolFeatures[Category],O$3)/O$1</f>
        <v>0.16666666666666666</v>
      </c>
      <c r="P8" s="105">
        <f>SUMIFS(ToolFeatures[Weight],ToolFeatures[TOOL],$B8,ToolFeatures[Category],P$3)/P$1</f>
        <v>0</v>
      </c>
      <c r="Q8" s="105">
        <f>SUMIFS(ToolFeatures[Weight],ToolFeatures[TOOL],$B8,ToolFeatures[Category],Q$3)/Q$1</f>
        <v>0</v>
      </c>
    </row>
    <row r="9" spans="2:17" ht="21.95" customHeight="1">
      <c r="B9" s="104" t="s">
        <v>150</v>
      </c>
      <c r="C9" s="105">
        <f>SUMIFS(ToolFeatures[Weight],ToolFeatures[TOOL],$B9,ToolFeatures[Category],C$3)/C$1</f>
        <v>0.29411764705882354</v>
      </c>
      <c r="D9" s="105">
        <f>SUMIFS(ToolFeatures[Weight],ToolFeatures[TOOL],$B9,ToolFeatures[Category],D$3)/D$1</f>
        <v>0</v>
      </c>
      <c r="E9" s="105">
        <f>SUMIFS(ToolFeatures[Weight],ToolFeatures[TOOL],$B9,ToolFeatures[Category],E$3)/E$1</f>
        <v>0</v>
      </c>
      <c r="F9" s="105">
        <f>SUMIFS(ToolFeatures[Weight],ToolFeatures[TOOL],$B9,ToolFeatures[Category],F$3)/F$1</f>
        <v>0</v>
      </c>
      <c r="G9" s="106">
        <f>SUMIFS(ToolFeatures[Weight],ToolFeatures[TOOL],$B9,ToolFeatures[Category],G$3)/G$1</f>
        <v>0</v>
      </c>
      <c r="H9" s="105">
        <f>SUMIFS(ToolFeatures[Weight],ToolFeatures[TOOL],$B9,ToolFeatures[Category],H$3)/H$1</f>
        <v>0</v>
      </c>
      <c r="I9" s="105">
        <f>SUMIFS(ToolFeatures[Weight],ToolFeatures[TOOL],$B9,ToolFeatures[Category],I$3)/I$1</f>
        <v>0</v>
      </c>
      <c r="J9" s="105">
        <f>SUMIFS(ToolFeatures[Weight],ToolFeatures[TOOL],$B9,ToolFeatures[Category],J$3)/J$1</f>
        <v>0</v>
      </c>
      <c r="K9" s="105">
        <f>SUMIFS(ToolFeatures[Weight],ToolFeatures[TOOL],$B9,ToolFeatures[Category],K$3)/K$1</f>
        <v>0</v>
      </c>
      <c r="L9" s="105">
        <f>SUMIFS(ToolFeatures[Weight],ToolFeatures[TOOL],$B9,ToolFeatures[Category],L$3)/L$1</f>
        <v>0</v>
      </c>
      <c r="M9" s="105">
        <f>SUMIFS(ToolFeatures[Weight],ToolFeatures[TOOL],$B9,ToolFeatures[Category],M$3)/M$1</f>
        <v>0</v>
      </c>
      <c r="N9" s="105">
        <f>SUMIFS(ToolFeatures[Weight],ToolFeatures[TOOL],$B9,ToolFeatures[Category],N$3)/N$1</f>
        <v>0</v>
      </c>
      <c r="O9" s="105">
        <f>SUMIFS(ToolFeatures[Weight],ToolFeatures[TOOL],$B9,ToolFeatures[Category],O$3)/O$1</f>
        <v>0.16666666666666666</v>
      </c>
      <c r="P9" s="105">
        <f>SUMIFS(ToolFeatures[Weight],ToolFeatures[TOOL],$B9,ToolFeatures[Category],P$3)/P$1</f>
        <v>0</v>
      </c>
      <c r="Q9" s="105">
        <f>SUMIFS(ToolFeatures[Weight],ToolFeatures[TOOL],$B9,ToolFeatures[Category],Q$3)/Q$1</f>
        <v>0</v>
      </c>
    </row>
    <row r="10" spans="2:17" ht="21.95" customHeight="1">
      <c r="B10" s="104" t="s">
        <v>263</v>
      </c>
      <c r="C10" s="105">
        <f>SUMIFS(ToolFeatures[Weight],ToolFeatures[TOOL],$B10,ToolFeatures[Category],C$3)/C$1</f>
        <v>0.29411764705882354</v>
      </c>
      <c r="D10" s="105">
        <f>SUMIFS(ToolFeatures[Weight],ToolFeatures[TOOL],$B10,ToolFeatures[Category],D$3)/D$1</f>
        <v>0</v>
      </c>
      <c r="E10" s="105">
        <f>SUMIFS(ToolFeatures[Weight],ToolFeatures[TOOL],$B10,ToolFeatures[Category],E$3)/E$1</f>
        <v>0</v>
      </c>
      <c r="F10" s="105">
        <f>SUMIFS(ToolFeatures[Weight],ToolFeatures[TOOL],$B10,ToolFeatures[Category],F$3)/F$1</f>
        <v>0</v>
      </c>
      <c r="G10" s="106">
        <f>SUMIFS(ToolFeatures[Weight],ToolFeatures[TOOL],$B10,ToolFeatures[Category],G$3)/G$1</f>
        <v>0</v>
      </c>
      <c r="H10" s="105">
        <f>SUMIFS(ToolFeatures[Weight],ToolFeatures[TOOL],$B10,ToolFeatures[Category],H$3)/H$1</f>
        <v>0.25</v>
      </c>
      <c r="I10" s="105">
        <f>SUMIFS(ToolFeatures[Weight],ToolFeatures[TOOL],$B10,ToolFeatures[Category],I$3)/I$1</f>
        <v>0</v>
      </c>
      <c r="J10" s="105">
        <f>SUMIFS(ToolFeatures[Weight],ToolFeatures[TOOL],$B10,ToolFeatures[Category],J$3)/J$1</f>
        <v>0</v>
      </c>
      <c r="K10" s="105">
        <f>SUMIFS(ToolFeatures[Weight],ToolFeatures[TOOL],$B10,ToolFeatures[Category],K$3)/K$1</f>
        <v>0.33333333333333331</v>
      </c>
      <c r="L10" s="105">
        <f>SUMIFS(ToolFeatures[Weight],ToolFeatures[TOOL],$B10,ToolFeatures[Category],L$3)/L$1</f>
        <v>0</v>
      </c>
      <c r="M10" s="105">
        <f>SUMIFS(ToolFeatures[Weight],ToolFeatures[TOOL],$B10,ToolFeatures[Category],M$3)/M$1</f>
        <v>0</v>
      </c>
      <c r="N10" s="105">
        <f>SUMIFS(ToolFeatures[Weight],ToolFeatures[TOOL],$B10,ToolFeatures[Category],N$3)/N$1</f>
        <v>0</v>
      </c>
      <c r="O10" s="105">
        <f>SUMIFS(ToolFeatures[Weight],ToolFeatures[TOOL],$B10,ToolFeatures[Category],O$3)/O$1</f>
        <v>0.33333333333333331</v>
      </c>
      <c r="P10" s="105">
        <f>SUMIFS(ToolFeatures[Weight],ToolFeatures[TOOL],$B10,ToolFeatures[Category],P$3)/P$1</f>
        <v>0</v>
      </c>
      <c r="Q10" s="105">
        <f>SUMIFS(ToolFeatures[Weight],ToolFeatures[TOOL],$B10,ToolFeatures[Category],Q$3)/Q$1</f>
        <v>0</v>
      </c>
    </row>
    <row r="11" spans="2:17" ht="21.95" customHeight="1">
      <c r="B11" s="104" t="s">
        <v>87</v>
      </c>
      <c r="C11" s="105">
        <f>SUMIFS(ToolFeatures[Weight],ToolFeatures[TOOL],$B11,ToolFeatures[Category],C$3)/C$1</f>
        <v>0.58823529411764708</v>
      </c>
      <c r="D11" s="105">
        <f>SUMIFS(ToolFeatures[Weight],ToolFeatures[TOOL],$B11,ToolFeatures[Category],D$3)/D$1</f>
        <v>0</v>
      </c>
      <c r="E11" s="105">
        <f>SUMIFS(ToolFeatures[Weight],ToolFeatures[TOOL],$B11,ToolFeatures[Category],E$3)/E$1</f>
        <v>0.5</v>
      </c>
      <c r="F11" s="105">
        <f>SUMIFS(ToolFeatures[Weight],ToolFeatures[TOOL],$B11,ToolFeatures[Category],F$3)/F$1</f>
        <v>0.25</v>
      </c>
      <c r="G11" s="106">
        <f>SUMIFS(ToolFeatures[Weight],ToolFeatures[TOOL],$B11,ToolFeatures[Category],G$3)/G$1</f>
        <v>0</v>
      </c>
      <c r="H11" s="105">
        <f>SUMIFS(ToolFeatures[Weight],ToolFeatures[TOOL],$B11,ToolFeatures[Category],H$3)/H$1</f>
        <v>0</v>
      </c>
      <c r="I11" s="105">
        <f>SUMIFS(ToolFeatures[Weight],ToolFeatures[TOOL],$B11,ToolFeatures[Category],I$3)/I$1</f>
        <v>0</v>
      </c>
      <c r="J11" s="105">
        <f>SUMIFS(ToolFeatures[Weight],ToolFeatures[TOOL],$B11,ToolFeatures[Category],J$3)/J$1</f>
        <v>0</v>
      </c>
      <c r="K11" s="105">
        <f>SUMIFS(ToolFeatures[Weight],ToolFeatures[TOOL],$B11,ToolFeatures[Category],K$3)/K$1</f>
        <v>0</v>
      </c>
      <c r="L11" s="105">
        <f>SUMIFS(ToolFeatures[Weight],ToolFeatures[TOOL],$B11,ToolFeatures[Category],L$3)/L$1</f>
        <v>0.1111111111111111</v>
      </c>
      <c r="M11" s="105">
        <f>SUMIFS(ToolFeatures[Weight],ToolFeatures[TOOL],$B11,ToolFeatures[Category],M$3)/M$1</f>
        <v>0.33333333333333331</v>
      </c>
      <c r="N11" s="105">
        <f>SUMIFS(ToolFeatures[Weight],ToolFeatures[TOOL],$B11,ToolFeatures[Category],N$3)/N$1</f>
        <v>0</v>
      </c>
      <c r="O11" s="105">
        <f>SUMIFS(ToolFeatures[Weight],ToolFeatures[TOOL],$B11,ToolFeatures[Category],O$3)/O$1</f>
        <v>0.33333333333333331</v>
      </c>
      <c r="P11" s="105">
        <f>SUMIFS(ToolFeatures[Weight],ToolFeatures[TOOL],$B11,ToolFeatures[Category],P$3)/P$1</f>
        <v>0</v>
      </c>
      <c r="Q11" s="105">
        <f>SUMIFS(ToolFeatures[Weight],ToolFeatures[TOOL],$B11,ToolFeatures[Category],Q$3)/Q$1</f>
        <v>0</v>
      </c>
    </row>
    <row r="12" spans="2:17" ht="21.95" customHeight="1">
      <c r="B12" s="104" t="s">
        <v>191</v>
      </c>
      <c r="C12" s="105">
        <f>SUMIFS(ToolFeatures[Weight],ToolFeatures[TOOL],$B12,ToolFeatures[Category],C$3)/C$1</f>
        <v>0.29411764705882354</v>
      </c>
      <c r="D12" s="105">
        <f>SUMIFS(ToolFeatures[Weight],ToolFeatures[TOOL],$B12,ToolFeatures[Category],D$3)/D$1</f>
        <v>0</v>
      </c>
      <c r="E12" s="105">
        <f>SUMIFS(ToolFeatures[Weight],ToolFeatures[TOOL],$B12,ToolFeatures[Category],E$3)/E$1</f>
        <v>0</v>
      </c>
      <c r="F12" s="105">
        <f>SUMIFS(ToolFeatures[Weight],ToolFeatures[TOOL],$B12,ToolFeatures[Category],F$3)/F$1</f>
        <v>0</v>
      </c>
      <c r="G12" s="106">
        <f>SUMIFS(ToolFeatures[Weight],ToolFeatures[TOOL],$B12,ToolFeatures[Category],G$3)/G$1</f>
        <v>0</v>
      </c>
      <c r="H12" s="105">
        <f>SUMIFS(ToolFeatures[Weight],ToolFeatures[TOOL],$B12,ToolFeatures[Category],H$3)/H$1</f>
        <v>0</v>
      </c>
      <c r="I12" s="105">
        <f>SUMIFS(ToolFeatures[Weight],ToolFeatures[TOOL],$B12,ToolFeatures[Category],I$3)/I$1</f>
        <v>0.6</v>
      </c>
      <c r="J12" s="105">
        <f>SUMIFS(ToolFeatures[Weight],ToolFeatures[TOOL],$B12,ToolFeatures[Category],J$3)/J$1</f>
        <v>1</v>
      </c>
      <c r="K12" s="105">
        <f>SUMIFS(ToolFeatures[Weight],ToolFeatures[TOOL],$B12,ToolFeatures[Category],K$3)/K$1</f>
        <v>0.66666666666666663</v>
      </c>
      <c r="L12" s="105">
        <f>SUMIFS(ToolFeatures[Weight],ToolFeatures[TOOL],$B12,ToolFeatures[Category],L$3)/L$1</f>
        <v>0.77777777777777779</v>
      </c>
      <c r="M12" s="105">
        <f>SUMIFS(ToolFeatures[Weight],ToolFeatures[TOOL],$B12,ToolFeatures[Category],M$3)/M$1</f>
        <v>1</v>
      </c>
      <c r="N12" s="105">
        <f>SUMIFS(ToolFeatures[Weight],ToolFeatures[TOOL],$B12,ToolFeatures[Category],N$3)/N$1</f>
        <v>0.42857142857142855</v>
      </c>
      <c r="O12" s="105">
        <f>SUMIFS(ToolFeatures[Weight],ToolFeatures[TOOL],$B12,ToolFeatures[Category],O$3)/O$1</f>
        <v>0.16666666666666666</v>
      </c>
      <c r="P12" s="105">
        <f>SUMIFS(ToolFeatures[Weight],ToolFeatures[TOOL],$B12,ToolFeatures[Category],P$3)/P$1</f>
        <v>0</v>
      </c>
      <c r="Q12" s="105">
        <f>SUMIFS(ToolFeatures[Weight],ToolFeatures[TOOL],$B12,ToolFeatures[Category],Q$3)/Q$1</f>
        <v>0</v>
      </c>
    </row>
    <row r="13" spans="2:17" ht="21.95" customHeight="1">
      <c r="B13" s="104" t="s">
        <v>91</v>
      </c>
      <c r="C13" s="105">
        <f>SUMIFS(ToolFeatures[Weight],ToolFeatures[TOOL],$B13,ToolFeatures[Category],C$3)/C$1</f>
        <v>0.29411764705882354</v>
      </c>
      <c r="D13" s="105">
        <f>SUMIFS(ToolFeatures[Weight],ToolFeatures[TOOL],$B13,ToolFeatures[Category],D$3)/D$1</f>
        <v>1</v>
      </c>
      <c r="E13" s="105">
        <f>SUMIFS(ToolFeatures[Weight],ToolFeatures[TOOL],$B13,ToolFeatures[Category],E$3)/E$1</f>
        <v>0.5</v>
      </c>
      <c r="F13" s="105">
        <f>SUMIFS(ToolFeatures[Weight],ToolFeatures[TOOL],$B13,ToolFeatures[Category],F$3)/F$1</f>
        <v>0.25</v>
      </c>
      <c r="G13" s="106">
        <f>SUMIFS(ToolFeatures[Weight],ToolFeatures[TOOL],$B13,ToolFeatures[Category],G$3)/G$1</f>
        <v>0</v>
      </c>
      <c r="H13" s="105">
        <f>SUMIFS(ToolFeatures[Weight],ToolFeatures[TOOL],$B13,ToolFeatures[Category],H$3)/H$1</f>
        <v>0</v>
      </c>
      <c r="I13" s="105">
        <f>SUMIFS(ToolFeatures[Weight],ToolFeatures[TOOL],$B13,ToolFeatures[Category],I$3)/I$1</f>
        <v>0</v>
      </c>
      <c r="J13" s="105">
        <f>SUMIFS(ToolFeatures[Weight],ToolFeatures[TOOL],$B13,ToolFeatures[Category],J$3)/J$1</f>
        <v>0</v>
      </c>
      <c r="K13" s="105">
        <f>SUMIFS(ToolFeatures[Weight],ToolFeatures[TOOL],$B13,ToolFeatures[Category],K$3)/K$1</f>
        <v>0</v>
      </c>
      <c r="L13" s="105">
        <f>SUMIFS(ToolFeatures[Weight],ToolFeatures[TOOL],$B13,ToolFeatures[Category],L$3)/L$1</f>
        <v>0</v>
      </c>
      <c r="M13" s="105">
        <f>SUMIFS(ToolFeatures[Weight],ToolFeatures[TOOL],$B13,ToolFeatures[Category],M$3)/M$1</f>
        <v>0</v>
      </c>
      <c r="N13" s="105">
        <f>SUMIFS(ToolFeatures[Weight],ToolFeatures[TOOL],$B13,ToolFeatures[Category],N$3)/N$1</f>
        <v>0</v>
      </c>
      <c r="O13" s="105">
        <f>SUMIFS(ToolFeatures[Weight],ToolFeatures[TOOL],$B13,ToolFeatures[Category],O$3)/O$1</f>
        <v>0</v>
      </c>
      <c r="P13" s="105">
        <f>SUMIFS(ToolFeatures[Weight],ToolFeatures[TOOL],$B13,ToolFeatures[Category],P$3)/P$1</f>
        <v>0</v>
      </c>
      <c r="Q13" s="105">
        <f>SUMIFS(ToolFeatures[Weight],ToolFeatures[TOOL],$B13,ToolFeatures[Category],Q$3)/Q$1</f>
        <v>0</v>
      </c>
    </row>
    <row r="14" spans="2:17" ht="21.95" customHeight="1">
      <c r="B14" s="104" t="s">
        <v>225</v>
      </c>
      <c r="C14" s="105">
        <f>SUMIFS(ToolFeatures[Weight],ToolFeatures[TOOL],$B14,ToolFeatures[Category],C$3)/C$1</f>
        <v>0.29411764705882354</v>
      </c>
      <c r="D14" s="105">
        <f>SUMIFS(ToolFeatures[Weight],ToolFeatures[TOOL],$B14,ToolFeatures[Category],D$3)/D$1</f>
        <v>1</v>
      </c>
      <c r="E14" s="105">
        <f>SUMIFS(ToolFeatures[Weight],ToolFeatures[TOOL],$B14,ToolFeatures[Category],E$3)/E$1</f>
        <v>0.5</v>
      </c>
      <c r="F14" s="105">
        <f>SUMIFS(ToolFeatures[Weight],ToolFeatures[TOOL],$B14,ToolFeatures[Category],F$3)/F$1</f>
        <v>0.25</v>
      </c>
      <c r="G14" s="106">
        <f>SUMIFS(ToolFeatures[Weight],ToolFeatures[TOOL],$B14,ToolFeatures[Category],G$3)/G$1</f>
        <v>0</v>
      </c>
      <c r="H14" s="105">
        <f>SUMIFS(ToolFeatures[Weight],ToolFeatures[TOOL],$B14,ToolFeatures[Category],H$3)/H$1</f>
        <v>0</v>
      </c>
      <c r="I14" s="105">
        <f>SUMIFS(ToolFeatures[Weight],ToolFeatures[TOOL],$B14,ToolFeatures[Category],I$3)/I$1</f>
        <v>0</v>
      </c>
      <c r="J14" s="105">
        <f>SUMIFS(ToolFeatures[Weight],ToolFeatures[TOOL],$B14,ToolFeatures[Category],J$3)/J$1</f>
        <v>0</v>
      </c>
      <c r="K14" s="105">
        <f>SUMIFS(ToolFeatures[Weight],ToolFeatures[TOOL],$B14,ToolFeatures[Category],K$3)/K$1</f>
        <v>0</v>
      </c>
      <c r="L14" s="105">
        <f>SUMIFS(ToolFeatures[Weight],ToolFeatures[TOOL],$B14,ToolFeatures[Category],L$3)/L$1</f>
        <v>0</v>
      </c>
      <c r="M14" s="105">
        <f>SUMIFS(ToolFeatures[Weight],ToolFeatures[TOOL],$B14,ToolFeatures[Category],M$3)/M$1</f>
        <v>0</v>
      </c>
      <c r="N14" s="105">
        <f>SUMIFS(ToolFeatures[Weight],ToolFeatures[TOOL],$B14,ToolFeatures[Category],N$3)/N$1</f>
        <v>0</v>
      </c>
      <c r="O14" s="105">
        <f>SUMIFS(ToolFeatures[Weight],ToolFeatures[TOOL],$B14,ToolFeatures[Category],O$3)/O$1</f>
        <v>0</v>
      </c>
      <c r="P14" s="105">
        <f>SUMIFS(ToolFeatures[Weight],ToolFeatures[TOOL],$B14,ToolFeatures[Category],P$3)/P$1</f>
        <v>0</v>
      </c>
      <c r="Q14" s="105">
        <f>SUMIFS(ToolFeatures[Weight],ToolFeatures[TOOL],$B14,ToolFeatures[Category],Q$3)/Q$1</f>
        <v>0</v>
      </c>
    </row>
    <row r="15" spans="2:17" ht="21.95" customHeight="1">
      <c r="B15" s="104" t="s">
        <v>279</v>
      </c>
      <c r="C15" s="105">
        <f>SUMIFS(ToolFeatures[Weight],ToolFeatures[TOOL],$B15,ToolFeatures[Category],C$3)/C$1</f>
        <v>0.29411764705882354</v>
      </c>
      <c r="D15" s="105">
        <f>SUMIFS(ToolFeatures[Weight],ToolFeatures[TOOL],$B15,ToolFeatures[Category],D$3)/D$1</f>
        <v>1</v>
      </c>
      <c r="E15" s="105">
        <f>SUMIFS(ToolFeatures[Weight],ToolFeatures[TOOL],$B15,ToolFeatures[Category],E$3)/E$1</f>
        <v>0</v>
      </c>
      <c r="F15" s="105">
        <f>SUMIFS(ToolFeatures[Weight],ToolFeatures[TOOL],$B15,ToolFeatures[Category],F$3)/F$1</f>
        <v>0</v>
      </c>
      <c r="G15" s="106">
        <f>SUMIFS(ToolFeatures[Weight],ToolFeatures[TOOL],$B15,ToolFeatures[Category],G$3)/G$1</f>
        <v>0</v>
      </c>
      <c r="H15" s="105">
        <f>SUMIFS(ToolFeatures[Weight],ToolFeatures[TOOL],$B15,ToolFeatures[Category],H$3)/H$1</f>
        <v>0.25</v>
      </c>
      <c r="I15" s="105">
        <f>SUMIFS(ToolFeatures[Weight],ToolFeatures[TOOL],$B15,ToolFeatures[Category],I$3)/I$1</f>
        <v>0.4</v>
      </c>
      <c r="J15" s="105">
        <f>SUMIFS(ToolFeatures[Weight],ToolFeatures[TOOL],$B15,ToolFeatures[Category],J$3)/J$1</f>
        <v>0</v>
      </c>
      <c r="K15" s="105">
        <f>SUMIFS(ToolFeatures[Weight],ToolFeatures[TOOL],$B15,ToolFeatures[Category],K$3)/K$1</f>
        <v>0.66666666666666663</v>
      </c>
      <c r="L15" s="105">
        <f>SUMIFS(ToolFeatures[Weight],ToolFeatures[TOOL],$B15,ToolFeatures[Category],L$3)/L$1</f>
        <v>0.55555555555555558</v>
      </c>
      <c r="M15" s="105">
        <f>SUMIFS(ToolFeatures[Weight],ToolFeatures[TOOL],$B15,ToolFeatures[Category],M$3)/M$1</f>
        <v>0</v>
      </c>
      <c r="N15" s="105">
        <f>SUMIFS(ToolFeatures[Weight],ToolFeatures[TOOL],$B15,ToolFeatures[Category],N$3)/N$1</f>
        <v>0</v>
      </c>
      <c r="O15" s="105">
        <f>SUMIFS(ToolFeatures[Weight],ToolFeatures[TOOL],$B15,ToolFeatures[Category],O$3)/O$1</f>
        <v>0</v>
      </c>
      <c r="P15" s="105">
        <f>SUMIFS(ToolFeatures[Weight],ToolFeatures[TOOL],$B15,ToolFeatures[Category],P$3)/P$1</f>
        <v>0</v>
      </c>
      <c r="Q15" s="105">
        <f>SUMIFS(ToolFeatures[Weight],ToolFeatures[TOOL],$B15,ToolFeatures[Category],Q$3)/Q$1</f>
        <v>0</v>
      </c>
    </row>
    <row r="16" spans="2:17" ht="21.95" customHeight="1">
      <c r="B16" s="104" t="s">
        <v>226</v>
      </c>
      <c r="C16" s="105">
        <f>SUMIFS(ToolFeatures[Weight],ToolFeatures[TOOL],$B16,ToolFeatures[Category],C$3)/C$1</f>
        <v>0.29411764705882354</v>
      </c>
      <c r="D16" s="105">
        <f>SUMIFS(ToolFeatures[Weight],ToolFeatures[TOOL],$B16,ToolFeatures[Category],D$3)/D$1</f>
        <v>0</v>
      </c>
      <c r="E16" s="105">
        <f>SUMIFS(ToolFeatures[Weight],ToolFeatures[TOOL],$B16,ToolFeatures[Category],E$3)/E$1</f>
        <v>1</v>
      </c>
      <c r="F16" s="105">
        <f>SUMIFS(ToolFeatures[Weight],ToolFeatures[TOOL],$B16,ToolFeatures[Category],F$3)/F$1</f>
        <v>0</v>
      </c>
      <c r="G16" s="106">
        <f>SUMIFS(ToolFeatures[Weight],ToolFeatures[TOOL],$B16,ToolFeatures[Category],G$3)/G$1</f>
        <v>0</v>
      </c>
      <c r="H16" s="105">
        <f>SUMIFS(ToolFeatures[Weight],ToolFeatures[TOOL],$B16,ToolFeatures[Category],H$3)/H$1</f>
        <v>0</v>
      </c>
      <c r="I16" s="105">
        <f>SUMIFS(ToolFeatures[Weight],ToolFeatures[TOOL],$B16,ToolFeatures[Category],I$3)/I$1</f>
        <v>0</v>
      </c>
      <c r="J16" s="105">
        <f>SUMIFS(ToolFeatures[Weight],ToolFeatures[TOOL],$B16,ToolFeatures[Category],J$3)/J$1</f>
        <v>0</v>
      </c>
      <c r="K16" s="105">
        <f>SUMIFS(ToolFeatures[Weight],ToolFeatures[TOOL],$B16,ToolFeatures[Category],K$3)/K$1</f>
        <v>0</v>
      </c>
      <c r="L16" s="105">
        <f>SUMIFS(ToolFeatures[Weight],ToolFeatures[TOOL],$B16,ToolFeatures[Category],L$3)/L$1</f>
        <v>0</v>
      </c>
      <c r="M16" s="105">
        <f>SUMIFS(ToolFeatures[Weight],ToolFeatures[TOOL],$B16,ToolFeatures[Category],M$3)/M$1</f>
        <v>0</v>
      </c>
      <c r="N16" s="105">
        <f>SUMIFS(ToolFeatures[Weight],ToolFeatures[TOOL],$B16,ToolFeatures[Category],N$3)/N$1</f>
        <v>0</v>
      </c>
      <c r="O16" s="105">
        <f>SUMIFS(ToolFeatures[Weight],ToolFeatures[TOOL],$B16,ToolFeatures[Category],O$3)/O$1</f>
        <v>0</v>
      </c>
      <c r="P16" s="105">
        <f>SUMIFS(ToolFeatures[Weight],ToolFeatures[TOOL],$B16,ToolFeatures[Category],P$3)/P$1</f>
        <v>0</v>
      </c>
      <c r="Q16" s="105">
        <f>SUMIFS(ToolFeatures[Weight],ToolFeatures[TOOL],$B16,ToolFeatures[Category],Q$3)/Q$1</f>
        <v>1</v>
      </c>
    </row>
    <row r="17" spans="2:17" ht="21.95" customHeight="1">
      <c r="B17" s="104" t="s">
        <v>227</v>
      </c>
      <c r="C17" s="105">
        <f>SUMIFS(ToolFeatures[Weight],ToolFeatures[TOOL],$B17,ToolFeatures[Category],C$3)/C$1</f>
        <v>0.29411764705882354</v>
      </c>
      <c r="D17" s="105">
        <f>SUMIFS(ToolFeatures[Weight],ToolFeatures[TOOL],$B17,ToolFeatures[Category],D$3)/D$1</f>
        <v>0</v>
      </c>
      <c r="E17" s="105">
        <f>SUMIFS(ToolFeatures[Weight],ToolFeatures[TOOL],$B17,ToolFeatures[Category],E$3)/E$1</f>
        <v>0</v>
      </c>
      <c r="F17" s="105">
        <f>SUMIFS(ToolFeatures[Weight],ToolFeatures[TOOL],$B17,ToolFeatures[Category],F$3)/F$1</f>
        <v>0</v>
      </c>
      <c r="G17" s="106">
        <f>SUMIFS(ToolFeatures[Weight],ToolFeatures[TOOL],$B17,ToolFeatures[Category],G$3)/G$1</f>
        <v>0.4</v>
      </c>
      <c r="H17" s="105">
        <f>SUMIFS(ToolFeatures[Weight],ToolFeatures[TOOL],$B17,ToolFeatures[Category],H$3)/H$1</f>
        <v>0.25</v>
      </c>
      <c r="I17" s="105">
        <f>SUMIFS(ToolFeatures[Weight],ToolFeatures[TOOL],$B17,ToolFeatures[Category],I$3)/I$1</f>
        <v>0</v>
      </c>
      <c r="J17" s="105">
        <f>SUMIFS(ToolFeatures[Weight],ToolFeatures[TOOL],$B17,ToolFeatures[Category],J$3)/J$1</f>
        <v>0</v>
      </c>
      <c r="K17" s="105">
        <f>SUMIFS(ToolFeatures[Weight],ToolFeatures[TOOL],$B17,ToolFeatures[Category],K$3)/K$1</f>
        <v>0.33333333333333331</v>
      </c>
      <c r="L17" s="105">
        <f>SUMIFS(ToolFeatures[Weight],ToolFeatures[TOOL],$B17,ToolFeatures[Category],L$3)/L$1</f>
        <v>0</v>
      </c>
      <c r="M17" s="105">
        <f>SUMIFS(ToolFeatures[Weight],ToolFeatures[TOOL],$B17,ToolFeatures[Category],M$3)/M$1</f>
        <v>0</v>
      </c>
      <c r="N17" s="105">
        <f>SUMIFS(ToolFeatures[Weight],ToolFeatures[TOOL],$B17,ToolFeatures[Category],N$3)/N$1</f>
        <v>0</v>
      </c>
      <c r="O17" s="105">
        <f>SUMIFS(ToolFeatures[Weight],ToolFeatures[TOOL],$B17,ToolFeatures[Category],O$3)/O$1</f>
        <v>0.16666666666666666</v>
      </c>
      <c r="P17" s="105">
        <f>SUMIFS(ToolFeatures[Weight],ToolFeatures[TOOL],$B17,ToolFeatures[Category],P$3)/P$1</f>
        <v>0</v>
      </c>
      <c r="Q17" s="105">
        <f>SUMIFS(ToolFeatures[Weight],ToolFeatures[TOOL],$B17,ToolFeatures[Category],Q$3)/Q$1</f>
        <v>0</v>
      </c>
    </row>
    <row r="18" spans="2:17" ht="21.95" customHeight="1">
      <c r="B18" s="104" t="s">
        <v>183</v>
      </c>
      <c r="C18" s="105">
        <f>SUMIFS(ToolFeatures[Weight],ToolFeatures[TOOL],$B18,ToolFeatures[Category],C$3)/C$1</f>
        <v>0.17647058823529413</v>
      </c>
      <c r="D18" s="105">
        <f>SUMIFS(ToolFeatures[Weight],ToolFeatures[TOOL],$B18,ToolFeatures[Category],D$3)/D$1</f>
        <v>1</v>
      </c>
      <c r="E18" s="105">
        <f>SUMIFS(ToolFeatures[Weight],ToolFeatures[TOOL],$B18,ToolFeatures[Category],E$3)/E$1</f>
        <v>0</v>
      </c>
      <c r="F18" s="105">
        <f>SUMIFS(ToolFeatures[Weight],ToolFeatures[TOOL],$B18,ToolFeatures[Category],F$3)/F$1</f>
        <v>0.25</v>
      </c>
      <c r="G18" s="106">
        <f>SUMIFS(ToolFeatures[Weight],ToolFeatures[TOOL],$B18,ToolFeatures[Category],G$3)/G$1</f>
        <v>0</v>
      </c>
      <c r="H18" s="105">
        <f>SUMIFS(ToolFeatures[Weight],ToolFeatures[TOOL],$B18,ToolFeatures[Category],H$3)/H$1</f>
        <v>0.25</v>
      </c>
      <c r="I18" s="105">
        <f>SUMIFS(ToolFeatures[Weight],ToolFeatures[TOOL],$B18,ToolFeatures[Category],I$3)/I$1</f>
        <v>0.8</v>
      </c>
      <c r="J18" s="105">
        <f>SUMIFS(ToolFeatures[Weight],ToolFeatures[TOOL],$B18,ToolFeatures[Category],J$3)/J$1</f>
        <v>0</v>
      </c>
      <c r="K18" s="105">
        <f>SUMIFS(ToolFeatures[Weight],ToolFeatures[TOOL],$B18,ToolFeatures[Category],K$3)/K$1</f>
        <v>0</v>
      </c>
      <c r="L18" s="105">
        <f>SUMIFS(ToolFeatures[Weight],ToolFeatures[TOOL],$B18,ToolFeatures[Category],L$3)/L$1</f>
        <v>0</v>
      </c>
      <c r="M18" s="105">
        <f>SUMIFS(ToolFeatures[Weight],ToolFeatures[TOOL],$B18,ToolFeatures[Category],M$3)/M$1</f>
        <v>0</v>
      </c>
      <c r="N18" s="105">
        <f>SUMIFS(ToolFeatures[Weight],ToolFeatures[TOOL],$B18,ToolFeatures[Category],N$3)/N$1</f>
        <v>0</v>
      </c>
      <c r="O18" s="105">
        <f>SUMIFS(ToolFeatures[Weight],ToolFeatures[TOOL],$B18,ToolFeatures[Category],O$3)/O$1</f>
        <v>0</v>
      </c>
      <c r="P18" s="105">
        <f>SUMIFS(ToolFeatures[Weight],ToolFeatures[TOOL],$B18,ToolFeatures[Category],P$3)/P$1</f>
        <v>0</v>
      </c>
      <c r="Q18" s="105">
        <f>SUMIFS(ToolFeatures[Weight],ToolFeatures[TOOL],$B18,ToolFeatures[Category],Q$3)/Q$1</f>
        <v>0</v>
      </c>
    </row>
    <row r="19" spans="2:17" ht="21.95" customHeight="1">
      <c r="B19" s="104" t="s">
        <v>184</v>
      </c>
      <c r="C19" s="105">
        <f>SUMIFS(ToolFeatures[Weight],ToolFeatures[TOOL],$B19,ToolFeatures[Category],C$3)/C$1</f>
        <v>0.29411764705882354</v>
      </c>
      <c r="D19" s="105">
        <f>SUMIFS(ToolFeatures[Weight],ToolFeatures[TOOL],$B19,ToolFeatures[Category],D$3)/D$1</f>
        <v>1</v>
      </c>
      <c r="E19" s="105">
        <f>SUMIFS(ToolFeatures[Weight],ToolFeatures[TOOL],$B19,ToolFeatures[Category],E$3)/E$1</f>
        <v>1</v>
      </c>
      <c r="F19" s="105">
        <f>SUMIFS(ToolFeatures[Weight],ToolFeatures[TOOL],$B19,ToolFeatures[Category],F$3)/F$1</f>
        <v>0.5</v>
      </c>
      <c r="G19" s="106">
        <f>SUMIFS(ToolFeatures[Weight],ToolFeatures[TOOL],$B19,ToolFeatures[Category],G$3)/G$1</f>
        <v>0</v>
      </c>
      <c r="H19" s="105">
        <f>SUMIFS(ToolFeatures[Weight],ToolFeatures[TOOL],$B19,ToolFeatures[Category],H$3)/H$1</f>
        <v>1</v>
      </c>
      <c r="I19" s="105">
        <f>SUMIFS(ToolFeatures[Weight],ToolFeatures[TOOL],$B19,ToolFeatures[Category],I$3)/I$1</f>
        <v>1</v>
      </c>
      <c r="J19" s="105">
        <f>SUMIFS(ToolFeatures[Weight],ToolFeatures[TOOL],$B19,ToolFeatures[Category],J$3)/J$1</f>
        <v>1</v>
      </c>
      <c r="K19" s="105">
        <f>SUMIFS(ToolFeatures[Weight],ToolFeatures[TOOL],$B19,ToolFeatures[Category],K$3)/K$1</f>
        <v>1</v>
      </c>
      <c r="L19" s="105">
        <f>SUMIFS(ToolFeatures[Weight],ToolFeatures[TOOL],$B19,ToolFeatures[Category],L$3)/L$1</f>
        <v>1</v>
      </c>
      <c r="M19" s="105">
        <f>SUMIFS(ToolFeatures[Weight],ToolFeatures[TOOL],$B19,ToolFeatures[Category],M$3)/M$1</f>
        <v>1</v>
      </c>
      <c r="N19" s="105">
        <f>SUMIFS(ToolFeatures[Weight],ToolFeatures[TOOL],$B19,ToolFeatures[Category],N$3)/N$1</f>
        <v>0</v>
      </c>
      <c r="O19" s="105">
        <f>SUMIFS(ToolFeatures[Weight],ToolFeatures[TOOL],$B19,ToolFeatures[Category],O$3)/O$1</f>
        <v>0.33333333333333331</v>
      </c>
      <c r="P19" s="105">
        <f>SUMIFS(ToolFeatures[Weight],ToolFeatures[TOOL],$B19,ToolFeatures[Category],P$3)/P$1</f>
        <v>0</v>
      </c>
      <c r="Q19" s="105">
        <f>SUMIFS(ToolFeatures[Weight],ToolFeatures[TOOL],$B19,ToolFeatures[Category],Q$3)/Q$1</f>
        <v>0</v>
      </c>
    </row>
    <row r="20" spans="2:17" ht="21.95" customHeight="1">
      <c r="B20" s="104" t="s">
        <v>295</v>
      </c>
      <c r="C20" s="105">
        <f>SUMIFS(ToolFeatures[Weight],ToolFeatures[TOOL],$B20,ToolFeatures[Category],C$3)/C$1</f>
        <v>0.17647058823529413</v>
      </c>
      <c r="D20" s="105">
        <f>SUMIFS(ToolFeatures[Weight],ToolFeatures[TOOL],$B20,ToolFeatures[Category],D$3)/D$1</f>
        <v>0</v>
      </c>
      <c r="E20" s="105">
        <f>SUMIFS(ToolFeatures[Weight],ToolFeatures[TOOL],$B20,ToolFeatures[Category],E$3)/E$1</f>
        <v>0</v>
      </c>
      <c r="F20" s="105">
        <f>SUMIFS(ToolFeatures[Weight],ToolFeatures[TOOL],$B20,ToolFeatures[Category],F$3)/F$1</f>
        <v>0.25</v>
      </c>
      <c r="G20" s="106">
        <f>SUMIFS(ToolFeatures[Weight],ToolFeatures[TOOL],$B20,ToolFeatures[Category],G$3)/G$1</f>
        <v>0</v>
      </c>
      <c r="H20" s="105">
        <f>SUMIFS(ToolFeatures[Weight],ToolFeatures[TOOL],$B20,ToolFeatures[Category],H$3)/H$1</f>
        <v>0.25</v>
      </c>
      <c r="I20" s="105">
        <f>SUMIFS(ToolFeatures[Weight],ToolFeatures[TOOL],$B20,ToolFeatures[Category],I$3)/I$1</f>
        <v>0.6</v>
      </c>
      <c r="J20" s="105">
        <f>SUMIFS(ToolFeatures[Weight],ToolFeatures[TOOL],$B20,ToolFeatures[Category],J$3)/J$1</f>
        <v>0</v>
      </c>
      <c r="K20" s="105">
        <f>SUMIFS(ToolFeatures[Weight],ToolFeatures[TOOL],$B20,ToolFeatures[Category],K$3)/K$1</f>
        <v>0</v>
      </c>
      <c r="L20" s="105">
        <f>SUMIFS(ToolFeatures[Weight],ToolFeatures[TOOL],$B20,ToolFeatures[Category],L$3)/L$1</f>
        <v>0</v>
      </c>
      <c r="M20" s="105">
        <f>SUMIFS(ToolFeatures[Weight],ToolFeatures[TOOL],$B20,ToolFeatures[Category],M$3)/M$1</f>
        <v>0</v>
      </c>
      <c r="N20" s="105">
        <f>SUMIFS(ToolFeatures[Weight],ToolFeatures[TOOL],$B20,ToolFeatures[Category],N$3)/N$1</f>
        <v>0</v>
      </c>
      <c r="O20" s="105">
        <f>SUMIFS(ToolFeatures[Weight],ToolFeatures[TOOL],$B20,ToolFeatures[Category],O$3)/O$1</f>
        <v>0</v>
      </c>
      <c r="P20" s="105">
        <f>SUMIFS(ToolFeatures[Weight],ToolFeatures[TOOL],$B20,ToolFeatures[Category],P$3)/P$1</f>
        <v>0</v>
      </c>
      <c r="Q20" s="105">
        <f>SUMIFS(ToolFeatures[Weight],ToolFeatures[TOOL],$B20,ToolFeatures[Category],Q$3)/Q$1</f>
        <v>0</v>
      </c>
    </row>
    <row r="21" spans="2:17" ht="21.95" customHeight="1">
      <c r="B21" s="104" t="s">
        <v>185</v>
      </c>
      <c r="C21" s="105">
        <f>SUMIFS(ToolFeatures[Weight],ToolFeatures[TOOL],$B21,ToolFeatures[Category],C$3)/C$1</f>
        <v>0.29411764705882354</v>
      </c>
      <c r="D21" s="105">
        <f>SUMIFS(ToolFeatures[Weight],ToolFeatures[TOOL],$B21,ToolFeatures[Category],D$3)/D$1</f>
        <v>0</v>
      </c>
      <c r="E21" s="105">
        <f>SUMIFS(ToolFeatures[Weight],ToolFeatures[TOOL],$B21,ToolFeatures[Category],E$3)/E$1</f>
        <v>0</v>
      </c>
      <c r="F21" s="105">
        <f>SUMIFS(ToolFeatures[Weight],ToolFeatures[TOOL],$B21,ToolFeatures[Category],F$3)/F$1</f>
        <v>0</v>
      </c>
      <c r="G21" s="106">
        <f>SUMIFS(ToolFeatures[Weight],ToolFeatures[TOOL],$B21,ToolFeatures[Category],G$3)/G$1</f>
        <v>0</v>
      </c>
      <c r="H21" s="105">
        <f>SUMIFS(ToolFeatures[Weight],ToolFeatures[TOOL],$B21,ToolFeatures[Category],H$3)/H$1</f>
        <v>0</v>
      </c>
      <c r="I21" s="105">
        <f>SUMIFS(ToolFeatures[Weight],ToolFeatures[TOOL],$B21,ToolFeatures[Category],I$3)/I$1</f>
        <v>0.4</v>
      </c>
      <c r="J21" s="105">
        <f>SUMIFS(ToolFeatures[Weight],ToolFeatures[TOOL],$B21,ToolFeatures[Category],J$3)/J$1</f>
        <v>0</v>
      </c>
      <c r="K21" s="105">
        <f>SUMIFS(ToolFeatures[Weight],ToolFeatures[TOOL],$B21,ToolFeatures[Category],K$3)/K$1</f>
        <v>0</v>
      </c>
      <c r="L21" s="105">
        <f>SUMIFS(ToolFeatures[Weight],ToolFeatures[TOOL],$B21,ToolFeatures[Category],L$3)/L$1</f>
        <v>0</v>
      </c>
      <c r="M21" s="105">
        <f>SUMIFS(ToolFeatures[Weight],ToolFeatures[TOOL],$B21,ToolFeatures[Category],M$3)/M$1</f>
        <v>0</v>
      </c>
      <c r="N21" s="105">
        <f>SUMIFS(ToolFeatures[Weight],ToolFeatures[TOOL],$B21,ToolFeatures[Category],N$3)/N$1</f>
        <v>0</v>
      </c>
      <c r="O21" s="105">
        <f>SUMIFS(ToolFeatures[Weight],ToolFeatures[TOOL],$B21,ToolFeatures[Category],O$3)/O$1</f>
        <v>0</v>
      </c>
      <c r="P21" s="105">
        <f>SUMIFS(ToolFeatures[Weight],ToolFeatures[TOOL],$B21,ToolFeatures[Category],P$3)/P$1</f>
        <v>0</v>
      </c>
      <c r="Q21" s="105">
        <f>SUMIFS(ToolFeatures[Weight],ToolFeatures[TOOL],$B21,ToolFeatures[Category],Q$3)/Q$1</f>
        <v>0</v>
      </c>
    </row>
    <row r="22" spans="2:17" ht="21.95" customHeight="1">
      <c r="B22" s="104" t="s">
        <v>186</v>
      </c>
      <c r="C22" s="105">
        <f>SUMIFS(ToolFeatures[Weight],ToolFeatures[TOOL],$B22,ToolFeatures[Category],C$3)/C$1</f>
        <v>0.29411764705882354</v>
      </c>
      <c r="D22" s="105">
        <f>SUMIFS(ToolFeatures[Weight],ToolFeatures[TOOL],$B22,ToolFeatures[Category],D$3)/D$1</f>
        <v>1</v>
      </c>
      <c r="E22" s="105">
        <f>SUMIFS(ToolFeatures[Weight],ToolFeatures[TOOL],$B22,ToolFeatures[Category],E$3)/E$1</f>
        <v>0</v>
      </c>
      <c r="F22" s="105">
        <f>SUMIFS(ToolFeatures[Weight],ToolFeatures[TOOL],$B22,ToolFeatures[Category],F$3)/F$1</f>
        <v>0</v>
      </c>
      <c r="G22" s="106">
        <f>SUMIFS(ToolFeatures[Weight],ToolFeatures[TOOL],$B22,ToolFeatures[Category],G$3)/G$1</f>
        <v>0</v>
      </c>
      <c r="H22" s="105">
        <f>SUMIFS(ToolFeatures[Weight],ToolFeatures[TOOL],$B22,ToolFeatures[Category],H$3)/H$1</f>
        <v>0.25</v>
      </c>
      <c r="I22" s="105">
        <f>SUMIFS(ToolFeatures[Weight],ToolFeatures[TOOL],$B22,ToolFeatures[Category],I$3)/I$1</f>
        <v>0.2</v>
      </c>
      <c r="J22" s="105">
        <f>SUMIFS(ToolFeatures[Weight],ToolFeatures[TOOL],$B22,ToolFeatures[Category],J$3)/J$1</f>
        <v>0</v>
      </c>
      <c r="K22" s="105">
        <f>SUMIFS(ToolFeatures[Weight],ToolFeatures[TOOL],$B22,ToolFeatures[Category],K$3)/K$1</f>
        <v>0</v>
      </c>
      <c r="L22" s="105">
        <f>SUMIFS(ToolFeatures[Weight],ToolFeatures[TOOL],$B22,ToolFeatures[Category],L$3)/L$1</f>
        <v>0.1111111111111111</v>
      </c>
      <c r="M22" s="105">
        <f>SUMIFS(ToolFeatures[Weight],ToolFeatures[TOOL],$B22,ToolFeatures[Category],M$3)/M$1</f>
        <v>0</v>
      </c>
      <c r="N22" s="105">
        <f>SUMIFS(ToolFeatures[Weight],ToolFeatures[TOOL],$B22,ToolFeatures[Category],N$3)/N$1</f>
        <v>0</v>
      </c>
      <c r="O22" s="105">
        <f>SUMIFS(ToolFeatures[Weight],ToolFeatures[TOOL],$B22,ToolFeatures[Category],O$3)/O$1</f>
        <v>0.16666666666666666</v>
      </c>
      <c r="P22" s="105">
        <f>SUMIFS(ToolFeatures[Weight],ToolFeatures[TOOL],$B22,ToolFeatures[Category],P$3)/P$1</f>
        <v>0</v>
      </c>
      <c r="Q22" s="105">
        <f>SUMIFS(ToolFeatures[Weight],ToolFeatures[TOOL],$B22,ToolFeatures[Category],Q$3)/Q$1</f>
        <v>0</v>
      </c>
    </row>
    <row r="23" spans="2:17" ht="21.95" customHeight="1">
      <c r="B23" s="104" t="s">
        <v>187</v>
      </c>
      <c r="C23" s="105">
        <f>SUMIFS(ToolFeatures[Weight],ToolFeatures[TOOL],$B23,ToolFeatures[Category],C$3)/C$1</f>
        <v>0.29411764705882354</v>
      </c>
      <c r="D23" s="105">
        <f>SUMIFS(ToolFeatures[Weight],ToolFeatures[TOOL],$B23,ToolFeatures[Category],D$3)/D$1</f>
        <v>1</v>
      </c>
      <c r="E23" s="105">
        <f>SUMIFS(ToolFeatures[Weight],ToolFeatures[TOOL],$B23,ToolFeatures[Category],E$3)/E$1</f>
        <v>0</v>
      </c>
      <c r="F23" s="105">
        <f>SUMIFS(ToolFeatures[Weight],ToolFeatures[TOOL],$B23,ToolFeatures[Category],F$3)/F$1</f>
        <v>0</v>
      </c>
      <c r="G23" s="106">
        <f>SUMIFS(ToolFeatures[Weight],ToolFeatures[TOOL],$B23,ToolFeatures[Category],G$3)/G$1</f>
        <v>0</v>
      </c>
      <c r="H23" s="105">
        <f>SUMIFS(ToolFeatures[Weight],ToolFeatures[TOOL],$B23,ToolFeatures[Category],H$3)/H$1</f>
        <v>0</v>
      </c>
      <c r="I23" s="105">
        <f>SUMIFS(ToolFeatures[Weight],ToolFeatures[TOOL],$B23,ToolFeatures[Category],I$3)/I$1</f>
        <v>0</v>
      </c>
      <c r="J23" s="105">
        <f>SUMIFS(ToolFeatures[Weight],ToolFeatures[TOOL],$B23,ToolFeatures[Category],J$3)/J$1</f>
        <v>0</v>
      </c>
      <c r="K23" s="105">
        <f>SUMIFS(ToolFeatures[Weight],ToolFeatures[TOOL],$B23,ToolFeatures[Category],K$3)/K$1</f>
        <v>0</v>
      </c>
      <c r="L23" s="105">
        <f>SUMIFS(ToolFeatures[Weight],ToolFeatures[TOOL],$B23,ToolFeatures[Category],L$3)/L$1</f>
        <v>0</v>
      </c>
      <c r="M23" s="105">
        <f>SUMIFS(ToolFeatures[Weight],ToolFeatures[TOOL],$B23,ToolFeatures[Category],M$3)/M$1</f>
        <v>0</v>
      </c>
      <c r="N23" s="105">
        <f>SUMIFS(ToolFeatures[Weight],ToolFeatures[TOOL],$B23,ToolFeatures[Category],N$3)/N$1</f>
        <v>0</v>
      </c>
      <c r="O23" s="105">
        <f>SUMIFS(ToolFeatures[Weight],ToolFeatures[TOOL],$B23,ToolFeatures[Category],O$3)/O$1</f>
        <v>0</v>
      </c>
      <c r="P23" s="105">
        <f>SUMIFS(ToolFeatures[Weight],ToolFeatures[TOOL],$B23,ToolFeatures[Category],P$3)/P$1</f>
        <v>0</v>
      </c>
      <c r="Q23" s="105">
        <f>SUMIFS(ToolFeatures[Weight],ToolFeatures[TOOL],$B23,ToolFeatures[Category],Q$3)/Q$1</f>
        <v>0</v>
      </c>
    </row>
    <row r="24" spans="2:17" ht="21.95" customHeight="1">
      <c r="B24" s="104" t="s">
        <v>188</v>
      </c>
      <c r="C24" s="105">
        <f>SUMIFS(ToolFeatures[Weight],ToolFeatures[TOOL],$B24,ToolFeatures[Category],C$3)/C$1</f>
        <v>0.29411764705882354</v>
      </c>
      <c r="D24" s="105">
        <f>SUMIFS(ToolFeatures[Weight],ToolFeatures[TOOL],$B24,ToolFeatures[Category],D$3)/D$1</f>
        <v>0</v>
      </c>
      <c r="E24" s="105">
        <f>SUMIFS(ToolFeatures[Weight],ToolFeatures[TOOL],$B24,ToolFeatures[Category],E$3)/E$1</f>
        <v>0</v>
      </c>
      <c r="F24" s="105">
        <f>SUMIFS(ToolFeatures[Weight],ToolFeatures[TOOL],$B24,ToolFeatures[Category],F$3)/F$1</f>
        <v>0.25</v>
      </c>
      <c r="G24" s="106">
        <f>SUMIFS(ToolFeatures[Weight],ToolFeatures[TOOL],$B24,ToolFeatures[Category],G$3)/G$1</f>
        <v>0</v>
      </c>
      <c r="H24" s="105">
        <f>SUMIFS(ToolFeatures[Weight],ToolFeatures[TOOL],$B24,ToolFeatures[Category],H$3)/H$1</f>
        <v>0</v>
      </c>
      <c r="I24" s="105">
        <f>SUMIFS(ToolFeatures[Weight],ToolFeatures[TOOL],$B24,ToolFeatures[Category],I$3)/I$1</f>
        <v>0</v>
      </c>
      <c r="J24" s="105">
        <f>SUMIFS(ToolFeatures[Weight],ToolFeatures[TOOL],$B24,ToolFeatures[Category],J$3)/J$1</f>
        <v>0</v>
      </c>
      <c r="K24" s="105">
        <f>SUMIFS(ToolFeatures[Weight],ToolFeatures[TOOL],$B24,ToolFeatures[Category],K$3)/K$1</f>
        <v>0</v>
      </c>
      <c r="L24" s="105">
        <f>SUMIFS(ToolFeatures[Weight],ToolFeatures[TOOL],$B24,ToolFeatures[Category],L$3)/L$1</f>
        <v>0</v>
      </c>
      <c r="M24" s="105">
        <f>SUMIFS(ToolFeatures[Weight],ToolFeatures[TOOL],$B24,ToolFeatures[Category],M$3)/M$1</f>
        <v>0</v>
      </c>
      <c r="N24" s="105">
        <f>SUMIFS(ToolFeatures[Weight],ToolFeatures[TOOL],$B24,ToolFeatures[Category],N$3)/N$1</f>
        <v>0.14285714285714285</v>
      </c>
      <c r="O24" s="105">
        <f>SUMIFS(ToolFeatures[Weight],ToolFeatures[TOOL],$B24,ToolFeatures[Category],O$3)/O$1</f>
        <v>0</v>
      </c>
      <c r="P24" s="105">
        <f>SUMIFS(ToolFeatures[Weight],ToolFeatures[TOOL],$B24,ToolFeatures[Category],P$3)/P$1</f>
        <v>0</v>
      </c>
      <c r="Q24" s="105">
        <f>SUMIFS(ToolFeatures[Weight],ToolFeatures[TOOL],$B24,ToolFeatures[Category],Q$3)/Q$1</f>
        <v>0</v>
      </c>
    </row>
    <row r="25" spans="2:17" ht="21.95" customHeight="1">
      <c r="B25" s="104" t="s">
        <v>189</v>
      </c>
      <c r="C25" s="105">
        <f>SUMIFS(ToolFeatures[Weight],ToolFeatures[TOOL],$B25,ToolFeatures[Category],C$3)/C$1</f>
        <v>0.29411764705882354</v>
      </c>
      <c r="D25" s="105">
        <f>SUMIFS(ToolFeatures[Weight],ToolFeatures[TOOL],$B25,ToolFeatures[Category],D$3)/D$1</f>
        <v>0</v>
      </c>
      <c r="E25" s="105">
        <f>SUMIFS(ToolFeatures[Weight],ToolFeatures[TOOL],$B25,ToolFeatures[Category],E$3)/E$1</f>
        <v>0</v>
      </c>
      <c r="F25" s="105">
        <f>SUMIFS(ToolFeatures[Weight],ToolFeatures[TOOL],$B25,ToolFeatures[Category],F$3)/F$1</f>
        <v>0</v>
      </c>
      <c r="G25" s="106">
        <f>SUMIFS(ToolFeatures[Weight],ToolFeatures[TOOL],$B25,ToolFeatures[Category],G$3)/G$1</f>
        <v>0</v>
      </c>
      <c r="H25" s="105">
        <f>SUMIFS(ToolFeatures[Weight],ToolFeatures[TOOL],$B25,ToolFeatures[Category],H$3)/H$1</f>
        <v>0.5</v>
      </c>
      <c r="I25" s="105">
        <f>SUMIFS(ToolFeatures[Weight],ToolFeatures[TOOL],$B25,ToolFeatures[Category],I$3)/I$1</f>
        <v>0.6</v>
      </c>
      <c r="J25" s="105">
        <f>SUMIFS(ToolFeatures[Weight],ToolFeatures[TOOL],$B25,ToolFeatures[Category],J$3)/J$1</f>
        <v>1</v>
      </c>
      <c r="K25" s="105">
        <f>SUMIFS(ToolFeatures[Weight],ToolFeatures[TOOL],$B25,ToolFeatures[Category],K$3)/K$1</f>
        <v>0</v>
      </c>
      <c r="L25" s="105">
        <f>SUMIFS(ToolFeatures[Weight],ToolFeatures[TOOL],$B25,ToolFeatures[Category],L$3)/L$1</f>
        <v>0</v>
      </c>
      <c r="M25" s="105">
        <f>SUMIFS(ToolFeatures[Weight],ToolFeatures[TOOL],$B25,ToolFeatures[Category],M$3)/M$1</f>
        <v>0</v>
      </c>
      <c r="N25" s="105">
        <f>SUMIFS(ToolFeatures[Weight],ToolFeatures[TOOL],$B25,ToolFeatures[Category],N$3)/N$1</f>
        <v>0</v>
      </c>
      <c r="O25" s="105">
        <f>SUMIFS(ToolFeatures[Weight],ToolFeatures[TOOL],$B25,ToolFeatures[Category],O$3)/O$1</f>
        <v>0</v>
      </c>
      <c r="P25" s="105">
        <f>SUMIFS(ToolFeatures[Weight],ToolFeatures[TOOL],$B25,ToolFeatures[Category],P$3)/P$1</f>
        <v>0</v>
      </c>
      <c r="Q25" s="105">
        <f>SUMIFS(ToolFeatures[Weight],ToolFeatures[TOOL],$B25,ToolFeatures[Category],Q$3)/Q$1</f>
        <v>0</v>
      </c>
    </row>
    <row r="26" spans="2:17" ht="21.95" customHeight="1">
      <c r="B26" s="104" t="s">
        <v>190</v>
      </c>
      <c r="C26" s="105">
        <f>SUMIFS(ToolFeatures[Weight],ToolFeatures[TOOL],$B26,ToolFeatures[Category],C$3)/C$1</f>
        <v>0.29411764705882354</v>
      </c>
      <c r="D26" s="105">
        <f>SUMIFS(ToolFeatures[Weight],ToolFeatures[TOOL],$B26,ToolFeatures[Category],D$3)/D$1</f>
        <v>0</v>
      </c>
      <c r="E26" s="105">
        <f>SUMIFS(ToolFeatures[Weight],ToolFeatures[TOOL],$B26,ToolFeatures[Category],E$3)/E$1</f>
        <v>0</v>
      </c>
      <c r="F26" s="105">
        <f>SUMIFS(ToolFeatures[Weight],ToolFeatures[TOOL],$B26,ToolFeatures[Category],F$3)/F$1</f>
        <v>0</v>
      </c>
      <c r="G26" s="106">
        <f>SUMIFS(ToolFeatures[Weight],ToolFeatures[TOOL],$B26,ToolFeatures[Category],G$3)/G$1</f>
        <v>0</v>
      </c>
      <c r="H26" s="105">
        <f>SUMIFS(ToolFeatures[Weight],ToolFeatures[TOOL],$B26,ToolFeatures[Category],H$3)/H$1</f>
        <v>0</v>
      </c>
      <c r="I26" s="105">
        <f>SUMIFS(ToolFeatures[Weight],ToolFeatures[TOOL],$B26,ToolFeatures[Category],I$3)/I$1</f>
        <v>0</v>
      </c>
      <c r="J26" s="105">
        <f>SUMIFS(ToolFeatures[Weight],ToolFeatures[TOOL],$B26,ToolFeatures[Category],J$3)/J$1</f>
        <v>0</v>
      </c>
      <c r="K26" s="105">
        <f>SUMIFS(ToolFeatures[Weight],ToolFeatures[TOOL],$B26,ToolFeatures[Category],K$3)/K$1</f>
        <v>0</v>
      </c>
      <c r="L26" s="105">
        <f>SUMIFS(ToolFeatures[Weight],ToolFeatures[TOOL],$B26,ToolFeatures[Category],L$3)/L$1</f>
        <v>1</v>
      </c>
      <c r="M26" s="105">
        <f>SUMIFS(ToolFeatures[Weight],ToolFeatures[TOOL],$B26,ToolFeatures[Category],M$3)/M$1</f>
        <v>0</v>
      </c>
      <c r="N26" s="105">
        <f>SUMIFS(ToolFeatures[Weight],ToolFeatures[TOOL],$B26,ToolFeatures[Category],N$3)/N$1</f>
        <v>0</v>
      </c>
      <c r="O26" s="105">
        <f>SUMIFS(ToolFeatures[Weight],ToolFeatures[TOOL],$B26,ToolFeatures[Category],O$3)/O$1</f>
        <v>0</v>
      </c>
      <c r="P26" s="105">
        <f>SUMIFS(ToolFeatures[Weight],ToolFeatures[TOOL],$B26,ToolFeatures[Category],P$3)/P$1</f>
        <v>0</v>
      </c>
      <c r="Q26" s="105">
        <f>SUMIFS(ToolFeatures[Weight],ToolFeatures[TOOL],$B26,ToolFeatures[Category],Q$3)/Q$1</f>
        <v>0</v>
      </c>
    </row>
    <row r="27" spans="2:17" ht="21.95" customHeight="1">
      <c r="B27" s="109" t="s">
        <v>265</v>
      </c>
      <c r="C27" s="105">
        <f>SUMIFS(ToolFeatures[Weight],ToolFeatures[TOOL],$B27,ToolFeatures[Category],C$3)/C$1</f>
        <v>0</v>
      </c>
      <c r="D27" s="105">
        <f>SUMIFS(ToolFeatures[Weight],ToolFeatures[TOOL],$B27,ToolFeatures[Category],D$3)/D$1</f>
        <v>0</v>
      </c>
      <c r="E27" s="105">
        <f>SUMIFS(ToolFeatures[Weight],ToolFeatures[TOOL],$B27,ToolFeatures[Category],E$3)/E$1</f>
        <v>0</v>
      </c>
      <c r="F27" s="105">
        <f>SUMIFS(ToolFeatures[Weight],ToolFeatures[TOOL],$B27,ToolFeatures[Category],F$3)/F$1</f>
        <v>0</v>
      </c>
      <c r="G27" s="106">
        <f>SUMIFS(ToolFeatures[Weight],ToolFeatures[TOOL],$B27,ToolFeatures[Category],G$3)/G$1</f>
        <v>1</v>
      </c>
      <c r="H27" s="105">
        <f>SUMIFS(ToolFeatures[Weight],ToolFeatures[TOOL],$B27,ToolFeatures[Category],H$3)/H$1</f>
        <v>0.25</v>
      </c>
      <c r="I27" s="105">
        <f>SUMIFS(ToolFeatures[Weight],ToolFeatures[TOOL],$B27,ToolFeatures[Category],I$3)/I$1</f>
        <v>0</v>
      </c>
      <c r="J27" s="105">
        <f>SUMIFS(ToolFeatures[Weight],ToolFeatures[TOOL],$B27,ToolFeatures[Category],J$3)/J$1</f>
        <v>0</v>
      </c>
      <c r="K27" s="105">
        <f>SUMIFS(ToolFeatures[Weight],ToolFeatures[TOOL],$B27,ToolFeatures[Category],K$3)/K$1</f>
        <v>0</v>
      </c>
      <c r="L27" s="105">
        <f>SUMIFS(ToolFeatures[Weight],ToolFeatures[TOOL],$B27,ToolFeatures[Category],L$3)/L$1</f>
        <v>0</v>
      </c>
      <c r="M27" s="105">
        <f>SUMIFS(ToolFeatures[Weight],ToolFeatures[TOOL],$B27,ToolFeatures[Category],M$3)/M$1</f>
        <v>0</v>
      </c>
      <c r="N27" s="105">
        <f>SUMIFS(ToolFeatures[Weight],ToolFeatures[TOOL],$B27,ToolFeatures[Category],N$3)/N$1</f>
        <v>0</v>
      </c>
      <c r="O27" s="105">
        <f>SUMIFS(ToolFeatures[Weight],ToolFeatures[TOOL],$B27,ToolFeatures[Category],O$3)/O$1</f>
        <v>0</v>
      </c>
      <c r="P27" s="105">
        <f>SUMIFS(ToolFeatures[Weight],ToolFeatures[TOOL],$B27,ToolFeatures[Category],P$3)/P$1</f>
        <v>0</v>
      </c>
      <c r="Q27" s="105">
        <f>SUMIFS(ToolFeatures[Weight],ToolFeatures[TOOL],$B27,ToolFeatures[Category],Q$3)/Q$1</f>
        <v>0</v>
      </c>
    </row>
    <row r="28" spans="2:17" ht="21.95" customHeight="1">
      <c r="B28" s="104" t="s">
        <v>192</v>
      </c>
      <c r="C28" s="107">
        <f>SUMIFS(ToolFeatures[Weight],ToolFeatures[TOOL],$B28,ToolFeatures[Category],C$3)/C$1</f>
        <v>0</v>
      </c>
      <c r="D28" s="105">
        <f>SUMIFS(ToolFeatures[Weight],ToolFeatures[TOOL],$B28,ToolFeatures[Category],D$3)/D$1</f>
        <v>0</v>
      </c>
      <c r="E28" s="105">
        <f>SUMIFS(ToolFeatures[Weight],ToolFeatures[TOOL],$B28,ToolFeatures[Category],E$3)/E$1</f>
        <v>0</v>
      </c>
      <c r="F28" s="105">
        <f>SUMIFS(ToolFeatures[Weight],ToolFeatures[TOOL],$B28,ToolFeatures[Category],F$3)/F$1</f>
        <v>0.25</v>
      </c>
      <c r="G28" s="106">
        <f>SUMIFS(ToolFeatures[Weight],ToolFeatures[TOOL],$B28,ToolFeatures[Category],G$3)/G$1</f>
        <v>0</v>
      </c>
      <c r="H28" s="105">
        <f>SUMIFS(ToolFeatures[Weight],ToolFeatures[TOOL],$B28,ToolFeatures[Category],H$3)/H$1</f>
        <v>0</v>
      </c>
      <c r="I28" s="105">
        <f>SUMIFS(ToolFeatures[Weight],ToolFeatures[TOOL],$B28,ToolFeatures[Category],I$3)/I$1</f>
        <v>0</v>
      </c>
      <c r="J28" s="105">
        <f>SUMIFS(ToolFeatures[Weight],ToolFeatures[TOOL],$B28,ToolFeatures[Category],J$3)/J$1</f>
        <v>0</v>
      </c>
      <c r="K28" s="105">
        <f>SUMIFS(ToolFeatures[Weight],ToolFeatures[TOOL],$B28,ToolFeatures[Category],K$3)/K$1</f>
        <v>0</v>
      </c>
      <c r="L28" s="105">
        <f>SUMIFS(ToolFeatures[Weight],ToolFeatures[TOOL],$B28,ToolFeatures[Category],L$3)/L$1</f>
        <v>0</v>
      </c>
      <c r="M28" s="105">
        <f>SUMIFS(ToolFeatures[Weight],ToolFeatures[TOOL],$B28,ToolFeatures[Category],M$3)/M$1</f>
        <v>0</v>
      </c>
      <c r="N28" s="105">
        <f>SUMIFS(ToolFeatures[Weight],ToolFeatures[TOOL],$B28,ToolFeatures[Category],N$3)/N$1</f>
        <v>0.14285714285714285</v>
      </c>
      <c r="O28" s="105">
        <f>SUMIFS(ToolFeatures[Weight],ToolFeatures[TOOL],$B28,ToolFeatures[Category],O$3)/O$1</f>
        <v>0.5</v>
      </c>
      <c r="P28" s="105">
        <f>SUMIFS(ToolFeatures[Weight],ToolFeatures[TOOL],$B28,ToolFeatures[Category],P$3)/P$1</f>
        <v>0</v>
      </c>
      <c r="Q28" s="105">
        <f>SUMIFS(ToolFeatures[Weight],ToolFeatures[TOOL],$B28,ToolFeatures[Category],Q$3)/Q$1</f>
        <v>0</v>
      </c>
    </row>
    <row r="29" spans="2:17" ht="21.95" customHeight="1">
      <c r="B29" s="110" t="s">
        <v>285</v>
      </c>
      <c r="C29" s="105">
        <f>SUMIFS(ToolFeatures[Weight],ToolFeatures[TOOL],$B29,ToolFeatures[Category],C$3)/C$1</f>
        <v>0.29411764705882354</v>
      </c>
      <c r="D29" s="105">
        <f>SUMIFS(ToolFeatures[Weight],ToolFeatures[TOOL],$B29,ToolFeatures[Category],D$3)/D$1</f>
        <v>0</v>
      </c>
      <c r="E29" s="105">
        <f>SUMIFS(ToolFeatures[Weight],ToolFeatures[TOOL],$B29,ToolFeatures[Category],E$3)/E$1</f>
        <v>0</v>
      </c>
      <c r="F29" s="105">
        <f>SUMIFS(ToolFeatures[Weight],ToolFeatures[TOOL],$B29,ToolFeatures[Category],F$3)/F$1</f>
        <v>0.25</v>
      </c>
      <c r="G29" s="106">
        <f>SUMIFS(ToolFeatures[Weight],ToolFeatures[TOOL],$B29,ToolFeatures[Category],G$3)/G$1</f>
        <v>0</v>
      </c>
      <c r="H29" s="105">
        <f>SUMIFS(ToolFeatures[Weight],ToolFeatures[TOOL],$B29,ToolFeatures[Category],H$3)/H$1</f>
        <v>0</v>
      </c>
      <c r="I29" s="105">
        <f>SUMIFS(ToolFeatures[Weight],ToolFeatures[TOOL],$B29,ToolFeatures[Category],I$3)/I$1</f>
        <v>0</v>
      </c>
      <c r="J29" s="105">
        <f>SUMIFS(ToolFeatures[Weight],ToolFeatures[TOOL],$B29,ToolFeatures[Category],J$3)/J$1</f>
        <v>0</v>
      </c>
      <c r="K29" s="105">
        <f>SUMIFS(ToolFeatures[Weight],ToolFeatures[TOOL],$B29,ToolFeatures[Category],K$3)/K$1</f>
        <v>0.33333333333333331</v>
      </c>
      <c r="L29" s="105">
        <f>SUMIFS(ToolFeatures[Weight],ToolFeatures[TOOL],$B29,ToolFeatures[Category],L$3)/L$1</f>
        <v>1</v>
      </c>
      <c r="M29" s="105">
        <f>SUMIFS(ToolFeatures[Weight],ToolFeatures[TOOL],$B29,ToolFeatures[Category],M$3)/M$1</f>
        <v>1</v>
      </c>
      <c r="N29" s="105">
        <f>SUMIFS(ToolFeatures[Weight],ToolFeatures[TOOL],$B29,ToolFeatures[Category],N$3)/N$1</f>
        <v>0</v>
      </c>
      <c r="O29" s="105">
        <f>SUMIFS(ToolFeatures[Weight],ToolFeatures[TOOL],$B29,ToolFeatures[Category],O$3)/O$1</f>
        <v>0.5</v>
      </c>
      <c r="P29" s="105">
        <f>SUMIFS(ToolFeatures[Weight],ToolFeatures[TOOL],$B29,ToolFeatures[Category],P$3)/P$1</f>
        <v>0</v>
      </c>
      <c r="Q29" s="105">
        <f>SUMIFS(ToolFeatures[Weight],ToolFeatures[TOOL],$B29,ToolFeatures[Category],Q$3)/Q$1</f>
        <v>0</v>
      </c>
    </row>
    <row r="30" spans="2:17" ht="21.95" customHeight="1">
      <c r="B30" s="110" t="s">
        <v>357</v>
      </c>
      <c r="C30" s="105">
        <f>SUMIFS(ToolFeatures[Weight],ToolFeatures[TOOL],$B30,ToolFeatures[Category],C$3)/C$1</f>
        <v>0.23529411764705882</v>
      </c>
      <c r="D30" s="105">
        <f>SUMIFS(ToolFeatures[Weight],ToolFeatures[TOOL],$B30,ToolFeatures[Category],D$3)/D$1</f>
        <v>0</v>
      </c>
      <c r="E30" s="105">
        <f>SUMIFS(ToolFeatures[Weight],ToolFeatures[TOOL],$B30,ToolFeatures[Category],E$3)/E$1</f>
        <v>0</v>
      </c>
      <c r="F30" s="105">
        <f>SUMIFS(ToolFeatures[Weight],ToolFeatures[TOOL],$B30,ToolFeatures[Category],F$3)/F$1</f>
        <v>0</v>
      </c>
      <c r="G30" s="105">
        <f>SUMIFS(ToolFeatures[Weight],ToolFeatures[TOOL],$B30,ToolFeatures[Category],G$3)/G$1</f>
        <v>0</v>
      </c>
      <c r="H30" s="105">
        <f>SUMIFS(ToolFeatures[Weight],ToolFeatures[TOOL],$B30,ToolFeatures[Category],H$3)/H$1</f>
        <v>0</v>
      </c>
      <c r="I30" s="105">
        <f>SUMIFS(ToolFeatures[Weight],ToolFeatures[TOOL],$B30,ToolFeatures[Category],I$3)/I$1</f>
        <v>0</v>
      </c>
      <c r="J30" s="105">
        <f>SUMIFS(ToolFeatures[Weight],ToolFeatures[TOOL],$B30,ToolFeatures[Category],J$3)/J$1</f>
        <v>0</v>
      </c>
      <c r="K30" s="105">
        <f>SUMIFS(ToolFeatures[Weight],ToolFeatures[TOOL],$B30,ToolFeatures[Category],K$3)/K$1</f>
        <v>0</v>
      </c>
      <c r="L30" s="105">
        <f>SUMIFS(ToolFeatures[Weight],ToolFeatures[TOOL],$B30,ToolFeatures[Category],L$3)/L$1</f>
        <v>0.1111111111111111</v>
      </c>
      <c r="M30" s="105">
        <f>SUMIFS(ToolFeatures[Weight],ToolFeatures[TOOL],$B30,ToolFeatures[Category],M$3)/M$1</f>
        <v>0</v>
      </c>
      <c r="N30" s="105">
        <f>SUMIFS(ToolFeatures[Weight],ToolFeatures[TOOL],$B30,ToolFeatures[Category],N$3)/N$1</f>
        <v>0</v>
      </c>
      <c r="O30" s="105">
        <f>SUMIFS(ToolFeatures[Weight],ToolFeatures[TOOL],$B30,ToolFeatures[Category],O$3)/O$1</f>
        <v>0</v>
      </c>
      <c r="P30" s="105">
        <f>SUMIFS(ToolFeatures[Weight],ToolFeatures[TOOL],$B30,ToolFeatures[Category],P$3)/P$1</f>
        <v>0</v>
      </c>
      <c r="Q30" s="105">
        <f>SUMIFS(ToolFeatures[Weight],ToolFeatures[TOOL],$B30,ToolFeatures[Category],Q$3)/Q$1</f>
        <v>0</v>
      </c>
    </row>
    <row r="31" spans="2:17" ht="21.95" customHeight="1">
      <c r="B31" s="110" t="s">
        <v>370</v>
      </c>
      <c r="C31" s="105">
        <f>SUMIFS(ToolFeatures[Weight],ToolFeatures[TOOL],$B31,ToolFeatures[Category],C$3)/C$1</f>
        <v>0.29411764705882354</v>
      </c>
      <c r="D31" s="105">
        <f>SUMIFS(ToolFeatures[Weight],ToolFeatures[TOOL],$B31,ToolFeatures[Category],D$3)/D$1</f>
        <v>0</v>
      </c>
      <c r="E31" s="105">
        <f>SUMIFS(ToolFeatures[Weight],ToolFeatures[TOOL],$B31,ToolFeatures[Category],E$3)/E$1</f>
        <v>0.5</v>
      </c>
      <c r="F31" s="105">
        <f>SUMIFS(ToolFeatures[Weight],ToolFeatures[TOOL],$B31,ToolFeatures[Category],F$3)/F$1</f>
        <v>0</v>
      </c>
      <c r="G31" s="105">
        <f>SUMIFS(ToolFeatures[Weight],ToolFeatures[TOOL],$B31,ToolFeatures[Category],G$3)/G$1</f>
        <v>0</v>
      </c>
      <c r="H31" s="105">
        <f>SUMIFS(ToolFeatures[Weight],ToolFeatures[TOOL],$B31,ToolFeatures[Category],H$3)/H$1</f>
        <v>0</v>
      </c>
      <c r="I31" s="105">
        <f>SUMIFS(ToolFeatures[Weight],ToolFeatures[TOOL],$B31,ToolFeatures[Category],I$3)/I$1</f>
        <v>0</v>
      </c>
      <c r="J31" s="105">
        <f>SUMIFS(ToolFeatures[Weight],ToolFeatures[TOOL],$B31,ToolFeatures[Category],J$3)/J$1</f>
        <v>0</v>
      </c>
      <c r="K31" s="105">
        <f>SUMIFS(ToolFeatures[Weight],ToolFeatures[TOOL],$B31,ToolFeatures[Category],K$3)/K$1</f>
        <v>0</v>
      </c>
      <c r="L31" s="105">
        <f>SUMIFS(ToolFeatures[Weight],ToolFeatures[TOOL],$B31,ToolFeatures[Category],L$3)/L$1</f>
        <v>0.1111111111111111</v>
      </c>
      <c r="M31" s="105">
        <f>SUMIFS(ToolFeatures[Weight],ToolFeatures[TOOL],$B31,ToolFeatures[Category],M$3)/M$1</f>
        <v>0.66666666666666663</v>
      </c>
      <c r="N31" s="105">
        <f>SUMIFS(ToolFeatures[Weight],ToolFeatures[TOOL],$B31,ToolFeatures[Category],N$3)/N$1</f>
        <v>0</v>
      </c>
      <c r="O31" s="105">
        <f>SUMIFS(ToolFeatures[Weight],ToolFeatures[TOOL],$B31,ToolFeatures[Category],O$3)/O$1</f>
        <v>0</v>
      </c>
      <c r="P31" s="105">
        <f>SUMIFS(ToolFeatures[Weight],ToolFeatures[TOOL],$B31,ToolFeatures[Category],P$3)/P$1</f>
        <v>0</v>
      </c>
      <c r="Q31" s="105">
        <f>SUMIFS(ToolFeatures[Weight],ToolFeatures[TOOL],$B31,ToolFeatures[Category],Q$3)/Q$1</f>
        <v>0</v>
      </c>
    </row>
  </sheetData>
  <conditionalFormatting sqref="C29:F29 H29:Q29">
    <cfRule type="colorScale" priority="56">
      <colorScale>
        <cfvo type="min"/>
        <cfvo type="max"/>
        <color rgb="FFFCFCFF"/>
        <color rgb="FF63BE7B"/>
      </colorScale>
    </cfRule>
    <cfRule type="colorScale" priority="57">
      <colorScale>
        <cfvo type="min"/>
        <cfvo type="percentile" val="50"/>
        <cfvo type="max"/>
        <color rgb="FFF8696B"/>
        <color rgb="FFFFEB84"/>
        <color rgb="FF63BE7B"/>
      </colorScale>
    </cfRule>
  </conditionalFormatting>
  <conditionalFormatting sqref="C30:F30 H30:Q30">
    <cfRule type="colorScale" priority="48">
      <colorScale>
        <cfvo type="min"/>
        <cfvo type="max"/>
        <color rgb="FFFCFCFF"/>
        <color rgb="FF63BE7B"/>
      </colorScale>
    </cfRule>
    <cfRule type="colorScale" priority="49">
      <colorScale>
        <cfvo type="min"/>
        <cfvo type="percentile" val="50"/>
        <cfvo type="max"/>
        <color rgb="FFF8696B"/>
        <color rgb="FFFFEB84"/>
        <color rgb="FF63BE7B"/>
      </colorScale>
    </cfRule>
  </conditionalFormatting>
  <conditionalFormatting sqref="G30">
    <cfRule type="colorScale" priority="47">
      <colorScale>
        <cfvo type="min"/>
        <cfvo type="max"/>
        <color rgb="FFFCFCFF"/>
        <color rgb="FF63BE7B"/>
      </colorScale>
    </cfRule>
    <cfRule type="colorScale" priority="51">
      <colorScale>
        <cfvo type="min"/>
        <cfvo type="percentile" val="50"/>
        <cfvo type="max"/>
        <color rgb="FFF8696B"/>
        <color rgb="FFFFEB84"/>
        <color rgb="FF63BE7B"/>
      </colorScale>
    </cfRule>
  </conditionalFormatting>
  <conditionalFormatting sqref="C31:F31 H31:Q31">
    <cfRule type="colorScale" priority="43">
      <colorScale>
        <cfvo type="min"/>
        <cfvo type="max"/>
        <color rgb="FFFCFCFF"/>
        <color rgb="FF63BE7B"/>
      </colorScale>
    </cfRule>
    <cfRule type="colorScale" priority="44">
      <colorScale>
        <cfvo type="min"/>
        <cfvo type="percentile" val="50"/>
        <cfvo type="max"/>
        <color rgb="FFF8696B"/>
        <color rgb="FFFFEB84"/>
        <color rgb="FF63BE7B"/>
      </colorScale>
    </cfRule>
  </conditionalFormatting>
  <conditionalFormatting sqref="G31">
    <cfRule type="colorScale" priority="42">
      <colorScale>
        <cfvo type="min"/>
        <cfvo type="max"/>
        <color rgb="FFFCFCFF"/>
        <color rgb="FF63BE7B"/>
      </colorScale>
    </cfRule>
    <cfRule type="colorScale" priority="45">
      <colorScale>
        <cfvo type="min"/>
        <cfvo type="percentile" val="50"/>
        <cfvo type="max"/>
        <color rgb="FFF8696B"/>
        <color rgb="FFFFEB84"/>
        <color rgb="FF63BE7B"/>
      </colorScale>
    </cfRule>
  </conditionalFormatting>
  <conditionalFormatting sqref="C31:Q31">
    <cfRule type="colorScale" priority="41">
      <colorScale>
        <cfvo type="min"/>
        <cfvo type="max"/>
        <color rgb="FFFCFCFF"/>
        <color rgb="FF63BE7B"/>
      </colorScale>
    </cfRule>
  </conditionalFormatting>
  <conditionalFormatting sqref="C4:Q28 G29">
    <cfRule type="colorScale" priority="142">
      <colorScale>
        <cfvo type="min"/>
        <cfvo type="max"/>
        <color rgb="FFFCFCFF"/>
        <color rgb="FF63BE7B"/>
      </colorScale>
    </cfRule>
    <cfRule type="colorScale" priority="143">
      <colorScale>
        <cfvo type="min"/>
        <cfvo type="percentile" val="50"/>
        <cfvo type="max"/>
        <color rgb="FFF8696B"/>
        <color rgb="FFFFEB84"/>
        <color rgb="FF63BE7B"/>
      </colorScale>
    </cfRule>
  </conditionalFormatting>
  <conditionalFormatting sqref="C4:Q30">
    <cfRule type="colorScale" priority="154">
      <colorScale>
        <cfvo type="min"/>
        <cfvo type="max"/>
        <color rgb="FFFCFCFF"/>
        <color rgb="FF63BE7B"/>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9495" r:id="rId4" name="cmdDelTool">
          <controlPr defaultSize="0" autoLine="0" r:id="rId5">
            <anchor moveWithCells="1">
              <from>
                <xdr:col>1</xdr:col>
                <xdr:colOff>857250</xdr:colOff>
                <xdr:row>1</xdr:row>
                <xdr:rowOff>209550</xdr:rowOff>
              </from>
              <to>
                <xdr:col>1</xdr:col>
                <xdr:colOff>1304925</xdr:colOff>
                <xdr:row>1</xdr:row>
                <xdr:rowOff>619125</xdr:rowOff>
              </to>
            </anchor>
          </controlPr>
        </control>
      </mc:Choice>
      <mc:Fallback>
        <control shapeId="19495" r:id="rId4" name="cmdDelTool"/>
      </mc:Fallback>
    </mc:AlternateContent>
    <mc:AlternateContent xmlns:mc="http://schemas.openxmlformats.org/markup-compatibility/2006">
      <mc:Choice Requires="x14">
        <control shapeId="19493" r:id="rId6" name="cmdAddTool">
          <controlPr defaultSize="0" autoFill="0" autoLine="0" r:id="rId7">
            <anchor moveWithCells="1">
              <from>
                <xdr:col>1</xdr:col>
                <xdr:colOff>123825</xdr:colOff>
                <xdr:row>1</xdr:row>
                <xdr:rowOff>219075</xdr:rowOff>
              </from>
              <to>
                <xdr:col>1</xdr:col>
                <xdr:colOff>600075</xdr:colOff>
                <xdr:row>1</xdr:row>
                <xdr:rowOff>619125</xdr:rowOff>
              </to>
            </anchor>
          </controlPr>
        </control>
      </mc:Choice>
      <mc:Fallback>
        <control shapeId="19493" r:id="rId6" name="cmdAddTool"/>
      </mc:Fallback>
    </mc:AlternateContent>
    <mc:AlternateContent xmlns:mc="http://schemas.openxmlformats.org/markup-compatibility/2006">
      <mc:Choice Requires="x14">
        <control shapeId="19494" r:id="rId8" name="Label 38">
          <controlPr defaultSize="0" autoFill="0" autoLine="0" autoPict="0" altText="Click to Add a Tool">
            <anchor moveWithCells="1" sizeWithCells="1">
              <from>
                <xdr:col>1</xdr:col>
                <xdr:colOff>114300</xdr:colOff>
                <xdr:row>1</xdr:row>
                <xdr:rowOff>590550</xdr:rowOff>
              </from>
              <to>
                <xdr:col>1</xdr:col>
                <xdr:colOff>704850</xdr:colOff>
                <xdr:row>1</xdr:row>
                <xdr:rowOff>733425</xdr:rowOff>
              </to>
            </anchor>
          </controlPr>
        </control>
      </mc:Choice>
    </mc:AlternateContent>
    <mc:AlternateContent xmlns:mc="http://schemas.openxmlformats.org/markup-compatibility/2006">
      <mc:Choice Requires="x14">
        <control shapeId="19496" r:id="rId9" name="Label 40">
          <controlPr defaultSize="0" autoFill="0" autoLine="0" autoPict="0" altText="Click to Add a Tool">
            <anchor moveWithCells="1" sizeWithCells="1">
              <from>
                <xdr:col>1</xdr:col>
                <xdr:colOff>790575</xdr:colOff>
                <xdr:row>1</xdr:row>
                <xdr:rowOff>590550</xdr:rowOff>
              </from>
              <to>
                <xdr:col>1</xdr:col>
                <xdr:colOff>1371600</xdr:colOff>
                <xdr:row>1</xdr:row>
                <xdr:rowOff>771525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C9A36-B60E-439E-9FBD-0603146012D1}">
  <dimension ref="A1:AA225"/>
  <sheetViews>
    <sheetView zoomScaleNormal="100" workbookViewId="0">
      <selection activeCell="B36" sqref="B36"/>
    </sheetView>
  </sheetViews>
  <sheetFormatPr defaultRowHeight="15"/>
  <cols>
    <col min="1" max="1" width="9.140625" style="7"/>
    <col min="2" max="2" width="74.28515625" style="4" customWidth="1"/>
    <col min="3" max="3" width="23.5703125" customWidth="1"/>
    <col min="4" max="4" width="22.7109375" customWidth="1"/>
    <col min="5" max="5" width="24.140625" customWidth="1"/>
    <col min="6" max="6" width="18.140625" customWidth="1"/>
    <col min="7" max="7" width="18.85546875" customWidth="1"/>
    <col min="8" max="8" width="14.7109375" customWidth="1"/>
    <col min="9" max="12" width="9.140625" style="7"/>
    <col min="13" max="13" width="69" style="7" customWidth="1"/>
    <col min="14" max="14" width="33.28515625" style="7" customWidth="1"/>
    <col min="15" max="27" width="9.140625" style="7"/>
  </cols>
  <sheetData>
    <row r="1" spans="2:14" s="7" customFormat="1">
      <c r="B1" s="9"/>
    </row>
    <row r="2" spans="2:14" s="7" customFormat="1">
      <c r="B2" s="9"/>
    </row>
    <row r="3" spans="2:14" s="7" customFormat="1" ht="15.75" thickBot="1">
      <c r="B3" s="9"/>
    </row>
    <row r="4" spans="2:14" ht="56.25">
      <c r="B4" s="83" t="s">
        <v>88</v>
      </c>
      <c r="C4" s="84" t="s">
        <v>335</v>
      </c>
      <c r="D4" s="84" t="s">
        <v>332</v>
      </c>
      <c r="E4" s="84" t="s">
        <v>334</v>
      </c>
      <c r="F4" s="84" t="s">
        <v>120</v>
      </c>
      <c r="G4" s="84" t="s">
        <v>122</v>
      </c>
      <c r="H4" s="85" t="s">
        <v>381</v>
      </c>
      <c r="M4" s="111" t="s">
        <v>481</v>
      </c>
      <c r="N4" s="112" t="s">
        <v>381</v>
      </c>
    </row>
    <row r="5" spans="2:14" ht="18.75">
      <c r="B5" s="90" t="s">
        <v>169</v>
      </c>
      <c r="C5" s="91">
        <v>3.04</v>
      </c>
      <c r="D5" s="91">
        <v>4</v>
      </c>
      <c r="E5" s="91">
        <v>1</v>
      </c>
      <c r="F5" s="91">
        <v>1</v>
      </c>
      <c r="G5" s="91">
        <v>1.0952380952380951</v>
      </c>
      <c r="H5" s="92">
        <f t="shared" ref="H5:H32" si="0">SUM(C5:G5)</f>
        <v>10.135238095238094</v>
      </c>
      <c r="L5" s="65"/>
      <c r="M5" s="115" t="s">
        <v>477</v>
      </c>
      <c r="N5" s="116">
        <v>1</v>
      </c>
    </row>
    <row r="6" spans="2:14" ht="18.75">
      <c r="B6" s="90" t="s">
        <v>470</v>
      </c>
      <c r="C6" s="91">
        <v>2.7941176470588234</v>
      </c>
      <c r="D6" s="91">
        <v>4</v>
      </c>
      <c r="E6" s="91">
        <v>1</v>
      </c>
      <c r="F6" s="91">
        <v>1</v>
      </c>
      <c r="G6" s="91">
        <v>0.33333333333333331</v>
      </c>
      <c r="H6" s="92">
        <f t="shared" si="0"/>
        <v>9.1274509803921564</v>
      </c>
      <c r="M6" s="115" t="s">
        <v>169</v>
      </c>
      <c r="N6" s="116">
        <v>1</v>
      </c>
    </row>
    <row r="7" spans="2:14" ht="18.75">
      <c r="B7" s="90" t="s">
        <v>167</v>
      </c>
      <c r="C7" s="91">
        <v>2.5441176470588234</v>
      </c>
      <c r="D7" s="91">
        <v>3.1666666666666665</v>
      </c>
      <c r="E7" s="91">
        <v>1</v>
      </c>
      <c r="F7" s="91">
        <v>1</v>
      </c>
      <c r="G7" s="91">
        <v>0.66666666666666663</v>
      </c>
      <c r="H7" s="92">
        <f t="shared" si="0"/>
        <v>8.3774509803921564</v>
      </c>
      <c r="M7" s="115" t="s">
        <v>167</v>
      </c>
      <c r="N7" s="116">
        <v>1</v>
      </c>
    </row>
    <row r="8" spans="2:14" ht="18.75">
      <c r="B8" s="90" t="s">
        <v>471</v>
      </c>
      <c r="C8" s="91">
        <v>2.2941176470588234</v>
      </c>
      <c r="D8" s="91">
        <v>1.8333333333333333</v>
      </c>
      <c r="E8" s="91">
        <v>1</v>
      </c>
      <c r="F8" s="91">
        <v>1</v>
      </c>
      <c r="G8" s="91">
        <v>0.66666666666666663</v>
      </c>
      <c r="H8" s="92">
        <f t="shared" si="0"/>
        <v>6.7941176470588234</v>
      </c>
      <c r="M8" s="115" t="s">
        <v>148</v>
      </c>
      <c r="N8" s="116">
        <v>1</v>
      </c>
    </row>
    <row r="9" spans="2:14" ht="18.75">
      <c r="B9" s="90" t="s">
        <v>191</v>
      </c>
      <c r="C9" s="91">
        <v>0.29411764705882354</v>
      </c>
      <c r="D9" s="91">
        <v>2.2666666666666666</v>
      </c>
      <c r="E9" s="91">
        <v>0.77777777777777779</v>
      </c>
      <c r="F9" s="91">
        <v>1</v>
      </c>
      <c r="G9" s="91">
        <v>0.59523809523809523</v>
      </c>
      <c r="H9" s="92">
        <f t="shared" si="0"/>
        <v>4.9338001867413626</v>
      </c>
      <c r="M9" s="115" t="s">
        <v>470</v>
      </c>
      <c r="N9" s="116">
        <v>1</v>
      </c>
    </row>
    <row r="10" spans="2:14" ht="18.75">
      <c r="B10" s="90" t="s">
        <v>148</v>
      </c>
      <c r="C10" s="91">
        <v>0.17647058823529413</v>
      </c>
      <c r="D10" s="91">
        <v>1.7166666666666668</v>
      </c>
      <c r="E10" s="91">
        <v>1</v>
      </c>
      <c r="F10" s="91">
        <v>0</v>
      </c>
      <c r="G10" s="91">
        <v>0.59523809523809523</v>
      </c>
      <c r="H10" s="92">
        <f t="shared" si="0"/>
        <v>3.4883753501400565</v>
      </c>
      <c r="M10" s="115" t="s">
        <v>471</v>
      </c>
      <c r="N10" s="116">
        <v>1</v>
      </c>
    </row>
    <row r="11" spans="2:14" ht="18.75">
      <c r="B11" s="90" t="s">
        <v>285</v>
      </c>
      <c r="C11" s="91">
        <v>0.54</v>
      </c>
      <c r="D11" s="91">
        <v>0.33333333333333331</v>
      </c>
      <c r="E11" s="91">
        <v>1</v>
      </c>
      <c r="F11" s="91">
        <v>1</v>
      </c>
      <c r="G11" s="91">
        <v>0.5</v>
      </c>
      <c r="H11" s="92">
        <f>SUM(C11:G11)</f>
        <v>3.3733333333333331</v>
      </c>
      <c r="M11" s="115" t="s">
        <v>482</v>
      </c>
      <c r="N11" s="116">
        <v>1</v>
      </c>
    </row>
    <row r="12" spans="2:14" ht="18.75">
      <c r="B12" s="90" t="s">
        <v>472</v>
      </c>
      <c r="C12" s="91">
        <v>1.2941176470588236</v>
      </c>
      <c r="D12" s="91">
        <v>1.3166666666666667</v>
      </c>
      <c r="E12" s="91">
        <v>0.55555555555555558</v>
      </c>
      <c r="F12" s="91">
        <v>0</v>
      </c>
      <c r="G12" s="91">
        <v>0</v>
      </c>
      <c r="H12" s="92">
        <f t="shared" si="0"/>
        <v>3.166339869281046</v>
      </c>
      <c r="M12" s="115" t="s">
        <v>285</v>
      </c>
      <c r="N12" s="116">
        <v>1</v>
      </c>
    </row>
    <row r="13" spans="2:14" ht="18.75">
      <c r="B13" s="90" t="s">
        <v>183</v>
      </c>
      <c r="C13" s="91">
        <v>1.43</v>
      </c>
      <c r="D13" s="91">
        <v>1.05</v>
      </c>
      <c r="E13" s="91">
        <v>0</v>
      </c>
      <c r="F13" s="91">
        <v>0</v>
      </c>
      <c r="G13" s="91">
        <v>0</v>
      </c>
      <c r="H13" s="92">
        <f t="shared" si="0"/>
        <v>2.48</v>
      </c>
      <c r="M13" s="115" t="s">
        <v>191</v>
      </c>
      <c r="N13" s="116">
        <v>0.77777777777777779</v>
      </c>
    </row>
    <row r="14" spans="2:14" ht="19.5" customHeight="1">
      <c r="B14" s="90" t="s">
        <v>189</v>
      </c>
      <c r="C14" s="91">
        <v>0.29411764705882354</v>
      </c>
      <c r="D14" s="91">
        <v>2.1</v>
      </c>
      <c r="E14" s="91">
        <v>0</v>
      </c>
      <c r="F14" s="91">
        <v>0</v>
      </c>
      <c r="G14" s="91">
        <v>0</v>
      </c>
      <c r="H14" s="92">
        <f t="shared" si="0"/>
        <v>2.3941176470588235</v>
      </c>
      <c r="M14" s="115" t="s">
        <v>472</v>
      </c>
      <c r="N14" s="116">
        <v>0.55555555555555558</v>
      </c>
    </row>
    <row r="15" spans="2:14" ht="18.75">
      <c r="B15" s="90" t="s">
        <v>473</v>
      </c>
      <c r="C15" s="91">
        <v>1.2941176470588236</v>
      </c>
      <c r="D15" s="91">
        <v>0</v>
      </c>
      <c r="E15" s="91">
        <v>0</v>
      </c>
      <c r="F15" s="91">
        <v>0</v>
      </c>
      <c r="G15" s="91">
        <v>1</v>
      </c>
      <c r="H15" s="92">
        <f t="shared" si="0"/>
        <v>2.2941176470588234</v>
      </c>
      <c r="M15" s="115" t="s">
        <v>87</v>
      </c>
      <c r="N15" s="116">
        <v>0.1111111111111111</v>
      </c>
    </row>
    <row r="16" spans="2:14" ht="18.75">
      <c r="B16" s="90" t="s">
        <v>87</v>
      </c>
      <c r="C16" s="91">
        <v>1.3382352941176472</v>
      </c>
      <c r="D16" s="91">
        <v>0</v>
      </c>
      <c r="E16" s="91">
        <v>0.1111111111111111</v>
      </c>
      <c r="F16" s="91">
        <v>0.33333333333333331</v>
      </c>
      <c r="G16" s="91">
        <v>0.33333333333333331</v>
      </c>
      <c r="H16" s="92">
        <f t="shared" si="0"/>
        <v>2.1160130718954249</v>
      </c>
      <c r="M16" s="115" t="s">
        <v>483</v>
      </c>
      <c r="N16" s="116">
        <v>0.1111111111111111</v>
      </c>
    </row>
    <row r="17" spans="2:27" ht="18" customHeight="1" thickBot="1">
      <c r="B17" s="90" t="s">
        <v>474</v>
      </c>
      <c r="C17" s="91">
        <v>2.0441176470588234</v>
      </c>
      <c r="D17" s="91">
        <v>0</v>
      </c>
      <c r="E17" s="91">
        <v>0</v>
      </c>
      <c r="F17" s="91">
        <v>0</v>
      </c>
      <c r="G17" s="91">
        <v>0</v>
      </c>
      <c r="H17" s="92">
        <f t="shared" si="0"/>
        <v>2.0441176470588234</v>
      </c>
      <c r="M17" s="113" t="s">
        <v>357</v>
      </c>
      <c r="N17" s="114">
        <v>0.1111111111111111</v>
      </c>
    </row>
    <row r="18" spans="2:27" ht="19.5" thickBot="1">
      <c r="B18" s="90" t="s">
        <v>475</v>
      </c>
      <c r="C18" s="91">
        <v>2.0441176470588234</v>
      </c>
      <c r="D18" s="91">
        <v>0</v>
      </c>
      <c r="E18" s="91">
        <v>0</v>
      </c>
      <c r="F18" s="91">
        <v>0</v>
      </c>
      <c r="G18" s="91">
        <v>0</v>
      </c>
      <c r="H18" s="92">
        <f t="shared" si="0"/>
        <v>2.0441176470588234</v>
      </c>
    </row>
    <row r="19" spans="2:27" ht="37.5">
      <c r="B19" s="90" t="s">
        <v>476</v>
      </c>
      <c r="C19" s="91">
        <v>1.29</v>
      </c>
      <c r="D19" s="91">
        <v>0.45</v>
      </c>
      <c r="E19" s="91">
        <v>0.1111111111111111</v>
      </c>
      <c r="F19" s="91">
        <v>0</v>
      </c>
      <c r="G19" s="91">
        <v>0.16666666666666666</v>
      </c>
      <c r="H19" s="92">
        <f t="shared" si="0"/>
        <v>2.0177777777777779</v>
      </c>
      <c r="M19" s="111" t="s">
        <v>484</v>
      </c>
      <c r="N19" s="112" t="s">
        <v>381</v>
      </c>
    </row>
    <row r="20" spans="2:27" ht="19.5" thickBot="1">
      <c r="B20" s="90" t="s">
        <v>477</v>
      </c>
      <c r="C20" s="91">
        <v>0.29411764705882354</v>
      </c>
      <c r="D20" s="91">
        <v>0</v>
      </c>
      <c r="E20" s="91">
        <v>1</v>
      </c>
      <c r="F20" s="91">
        <v>0</v>
      </c>
      <c r="G20" s="91">
        <v>0.33333333333333331</v>
      </c>
      <c r="H20" s="92">
        <f t="shared" si="0"/>
        <v>1.6274509803921569</v>
      </c>
      <c r="M20" s="113" t="s">
        <v>370</v>
      </c>
      <c r="N20" s="114">
        <v>0.1111111111111111</v>
      </c>
    </row>
    <row r="21" spans="2:27" ht="18.75">
      <c r="B21" s="90" t="s">
        <v>370</v>
      </c>
      <c r="C21" s="91">
        <v>0.79</v>
      </c>
      <c r="D21" s="91">
        <v>0</v>
      </c>
      <c r="E21" s="91">
        <v>0.1111111111111111</v>
      </c>
      <c r="F21" s="91">
        <v>0.66666666666666663</v>
      </c>
      <c r="G21" s="91">
        <v>0</v>
      </c>
      <c r="H21" s="92">
        <f t="shared" si="0"/>
        <v>1.5677777777777777</v>
      </c>
    </row>
    <row r="22" spans="2:27" ht="18.75">
      <c r="B22" s="90" t="s">
        <v>478</v>
      </c>
      <c r="C22" s="91">
        <v>0.29411764705882354</v>
      </c>
      <c r="D22" s="91">
        <v>0.98333333333333339</v>
      </c>
      <c r="E22" s="91">
        <v>0</v>
      </c>
      <c r="F22" s="91">
        <v>0</v>
      </c>
      <c r="G22" s="91">
        <v>0.16666666666666666</v>
      </c>
      <c r="H22" s="92">
        <f t="shared" si="0"/>
        <v>1.4441176470588237</v>
      </c>
      <c r="X22"/>
      <c r="Y22"/>
      <c r="Z22"/>
      <c r="AA22"/>
    </row>
    <row r="23" spans="2:27" ht="18.75">
      <c r="B23" s="90" t="s">
        <v>482</v>
      </c>
      <c r="C23" s="91">
        <v>0.29411764705882354</v>
      </c>
      <c r="D23" s="91">
        <v>0</v>
      </c>
      <c r="E23" s="91">
        <v>1</v>
      </c>
      <c r="F23" s="91">
        <v>0</v>
      </c>
      <c r="G23" s="91">
        <v>0</v>
      </c>
      <c r="H23" s="92">
        <f>SUM(C23:G23)</f>
        <v>1.2941176470588236</v>
      </c>
      <c r="X23"/>
      <c r="Y23"/>
      <c r="Z23"/>
      <c r="AA23"/>
    </row>
    <row r="24" spans="2:27" ht="18.75">
      <c r="B24" s="90" t="s">
        <v>479</v>
      </c>
      <c r="C24" s="91">
        <v>1.29</v>
      </c>
      <c r="D24" s="91">
        <v>0</v>
      </c>
      <c r="E24" s="91">
        <v>0</v>
      </c>
      <c r="F24" s="91">
        <v>0</v>
      </c>
      <c r="G24" s="91">
        <v>0</v>
      </c>
      <c r="H24" s="92">
        <f>SUM(C24:G24)</f>
        <v>1.29</v>
      </c>
      <c r="X24"/>
      <c r="Y24"/>
      <c r="Z24"/>
      <c r="AA24"/>
    </row>
    <row r="25" spans="2:27" ht="18.75">
      <c r="B25" s="90" t="s">
        <v>295</v>
      </c>
      <c r="C25" s="91">
        <v>0.43</v>
      </c>
      <c r="D25" s="91">
        <v>0.85</v>
      </c>
      <c r="E25" s="91">
        <v>0</v>
      </c>
      <c r="F25" s="91">
        <v>0</v>
      </c>
      <c r="G25" s="91">
        <v>0</v>
      </c>
      <c r="H25" s="92">
        <f t="shared" si="0"/>
        <v>1.28</v>
      </c>
      <c r="X25"/>
      <c r="Y25"/>
      <c r="Z25"/>
      <c r="AA25"/>
    </row>
    <row r="26" spans="2:27" ht="18.75">
      <c r="B26" s="90" t="s">
        <v>265</v>
      </c>
      <c r="C26" s="91">
        <v>0</v>
      </c>
      <c r="D26" s="91">
        <v>1.25</v>
      </c>
      <c r="E26" s="91">
        <v>0</v>
      </c>
      <c r="F26" s="91">
        <v>0</v>
      </c>
      <c r="G26" s="91">
        <v>0</v>
      </c>
      <c r="H26" s="92">
        <f t="shared" si="0"/>
        <v>1.25</v>
      </c>
      <c r="X26"/>
      <c r="Y26"/>
      <c r="Z26"/>
      <c r="AA26"/>
    </row>
    <row r="27" spans="2:27" ht="18.75">
      <c r="B27" s="90" t="s">
        <v>263</v>
      </c>
      <c r="C27" s="91">
        <v>0.29411764705882354</v>
      </c>
      <c r="D27" s="91">
        <v>0.58333333333333326</v>
      </c>
      <c r="E27" s="91">
        <v>0</v>
      </c>
      <c r="F27" s="91">
        <v>0</v>
      </c>
      <c r="G27" s="91">
        <v>0.33333333333333331</v>
      </c>
      <c r="H27" s="92">
        <f t="shared" si="0"/>
        <v>1.2107843137254901</v>
      </c>
      <c r="X27"/>
      <c r="Y27"/>
      <c r="Z27"/>
      <c r="AA27"/>
    </row>
    <row r="28" spans="2:27" ht="18.75">
      <c r="B28" s="90" t="s">
        <v>192</v>
      </c>
      <c r="C28" s="91">
        <v>0.25</v>
      </c>
      <c r="D28" s="91">
        <v>0</v>
      </c>
      <c r="E28" s="91">
        <v>0</v>
      </c>
      <c r="F28" s="91">
        <v>0</v>
      </c>
      <c r="G28" s="91">
        <v>0.64285714285714279</v>
      </c>
      <c r="H28" s="92">
        <f t="shared" si="0"/>
        <v>0.89285714285714279</v>
      </c>
      <c r="X28"/>
      <c r="Y28"/>
      <c r="Z28"/>
      <c r="AA28"/>
    </row>
    <row r="29" spans="2:27" ht="18.75">
      <c r="B29" s="90" t="s">
        <v>480</v>
      </c>
      <c r="C29" s="91">
        <v>0.29411764705882354</v>
      </c>
      <c r="D29" s="91">
        <v>0.4</v>
      </c>
      <c r="E29" s="91">
        <v>0</v>
      </c>
      <c r="F29" s="91">
        <v>0</v>
      </c>
      <c r="G29" s="91">
        <v>0</v>
      </c>
      <c r="H29" s="92">
        <f t="shared" si="0"/>
        <v>0.69411764705882351</v>
      </c>
      <c r="X29"/>
      <c r="Y29"/>
      <c r="Z29"/>
      <c r="AA29"/>
    </row>
    <row r="30" spans="2:27" ht="18.75">
      <c r="B30" s="90" t="s">
        <v>188</v>
      </c>
      <c r="C30" s="91">
        <v>0.54411764705882359</v>
      </c>
      <c r="D30" s="91">
        <v>0</v>
      </c>
      <c r="E30" s="91">
        <v>0</v>
      </c>
      <c r="F30" s="91">
        <v>0</v>
      </c>
      <c r="G30" s="91">
        <v>0.14285714285714285</v>
      </c>
      <c r="H30" s="92">
        <f t="shared" si="0"/>
        <v>0.68697478991596639</v>
      </c>
      <c r="X30"/>
      <c r="Y30"/>
      <c r="Z30"/>
      <c r="AA30"/>
    </row>
    <row r="31" spans="2:27" ht="18.75">
      <c r="B31" s="90" t="s">
        <v>150</v>
      </c>
      <c r="C31" s="91">
        <v>0.29411764705882354</v>
      </c>
      <c r="D31" s="91">
        <v>0</v>
      </c>
      <c r="E31" s="91">
        <v>0</v>
      </c>
      <c r="F31" s="91">
        <v>0</v>
      </c>
      <c r="G31" s="91">
        <v>0.16666666666666666</v>
      </c>
      <c r="H31" s="92">
        <f t="shared" si="0"/>
        <v>0.46078431372549022</v>
      </c>
      <c r="X31"/>
      <c r="Y31"/>
      <c r="Z31"/>
      <c r="AA31"/>
    </row>
    <row r="32" spans="2:27" ht="19.5" thickBot="1">
      <c r="B32" s="93" t="s">
        <v>357</v>
      </c>
      <c r="C32" s="94">
        <v>0.24</v>
      </c>
      <c r="D32" s="94">
        <v>0</v>
      </c>
      <c r="E32" s="94">
        <v>0.1111111111111111</v>
      </c>
      <c r="F32" s="94">
        <v>0</v>
      </c>
      <c r="G32" s="94">
        <v>0</v>
      </c>
      <c r="H32" s="95">
        <f t="shared" si="0"/>
        <v>0.3511111111111111</v>
      </c>
      <c r="X32"/>
      <c r="Y32"/>
      <c r="Z32"/>
      <c r="AA32"/>
    </row>
    <row r="33" spans="2:2" s="7" customFormat="1">
      <c r="B33" s="9"/>
    </row>
    <row r="34" spans="2:2" s="7" customFormat="1">
      <c r="B34" s="9"/>
    </row>
    <row r="35" spans="2:2" s="7" customFormat="1">
      <c r="B35" s="9"/>
    </row>
    <row r="36" spans="2:2" s="7" customFormat="1">
      <c r="B36" s="9"/>
    </row>
    <row r="37" spans="2:2" s="7" customFormat="1">
      <c r="B37" s="9"/>
    </row>
    <row r="38" spans="2:2" s="7" customFormat="1">
      <c r="B38" s="9"/>
    </row>
    <row r="39" spans="2:2" s="7" customFormat="1">
      <c r="B39" s="9"/>
    </row>
    <row r="40" spans="2:2" s="7" customFormat="1">
      <c r="B40" s="9"/>
    </row>
    <row r="41" spans="2:2" s="7" customFormat="1">
      <c r="B41" s="9"/>
    </row>
    <row r="42" spans="2:2" s="7" customFormat="1">
      <c r="B42" s="9"/>
    </row>
    <row r="43" spans="2:2" s="7" customFormat="1">
      <c r="B43" s="9"/>
    </row>
    <row r="44" spans="2:2" s="7" customFormat="1">
      <c r="B44" s="9"/>
    </row>
    <row r="45" spans="2:2" s="7" customFormat="1">
      <c r="B45" s="9"/>
    </row>
    <row r="46" spans="2:2" s="7" customFormat="1">
      <c r="B46" s="9"/>
    </row>
    <row r="47" spans="2:2" s="7" customFormat="1">
      <c r="B47" s="9"/>
    </row>
    <row r="48" spans="2:2" s="7" customFormat="1">
      <c r="B48" s="9"/>
    </row>
    <row r="49" spans="2:2" s="7" customFormat="1">
      <c r="B49" s="9"/>
    </row>
    <row r="50" spans="2:2" s="7" customFormat="1">
      <c r="B50" s="9"/>
    </row>
    <row r="51" spans="2:2" s="7" customFormat="1">
      <c r="B51" s="9"/>
    </row>
    <row r="52" spans="2:2" s="7" customFormat="1">
      <c r="B52" s="9"/>
    </row>
    <row r="53" spans="2:2" s="7" customFormat="1">
      <c r="B53" s="9"/>
    </row>
    <row r="54" spans="2:2" s="7" customFormat="1">
      <c r="B54" s="9"/>
    </row>
    <row r="55" spans="2:2" s="7" customFormat="1">
      <c r="B55" s="9"/>
    </row>
    <row r="56" spans="2:2" s="7" customFormat="1">
      <c r="B56" s="9"/>
    </row>
    <row r="57" spans="2:2" s="7" customFormat="1">
      <c r="B57" s="9"/>
    </row>
    <row r="58" spans="2:2" s="7" customFormat="1">
      <c r="B58" s="9"/>
    </row>
    <row r="59" spans="2:2" s="7" customFormat="1">
      <c r="B59" s="9"/>
    </row>
    <row r="60" spans="2:2" s="7" customFormat="1">
      <c r="B60" s="9"/>
    </row>
    <row r="61" spans="2:2" s="7" customFormat="1">
      <c r="B61" s="9"/>
    </row>
    <row r="62" spans="2:2" s="7" customFormat="1">
      <c r="B62" s="9"/>
    </row>
    <row r="63" spans="2:2" s="7" customFormat="1">
      <c r="B63" s="9"/>
    </row>
    <row r="64" spans="2:2" s="7" customFormat="1">
      <c r="B64" s="9"/>
    </row>
    <row r="65" spans="2:2" s="7" customFormat="1">
      <c r="B65" s="9"/>
    </row>
    <row r="66" spans="2:2" s="7" customFormat="1">
      <c r="B66" s="9"/>
    </row>
    <row r="67" spans="2:2" s="7" customFormat="1">
      <c r="B67" s="9"/>
    </row>
    <row r="68" spans="2:2" s="7" customFormat="1">
      <c r="B68" s="9"/>
    </row>
    <row r="69" spans="2:2" s="7" customFormat="1">
      <c r="B69" s="9"/>
    </row>
    <row r="70" spans="2:2" s="7" customFormat="1">
      <c r="B70" s="9"/>
    </row>
    <row r="71" spans="2:2" s="7" customFormat="1">
      <c r="B71" s="9"/>
    </row>
    <row r="72" spans="2:2" s="7" customFormat="1">
      <c r="B72" s="9"/>
    </row>
    <row r="73" spans="2:2" s="7" customFormat="1">
      <c r="B73" s="9"/>
    </row>
    <row r="74" spans="2:2" s="7" customFormat="1">
      <c r="B74" s="9"/>
    </row>
    <row r="75" spans="2:2" s="7" customFormat="1">
      <c r="B75" s="9"/>
    </row>
    <row r="76" spans="2:2" s="7" customFormat="1">
      <c r="B76" s="9"/>
    </row>
    <row r="77" spans="2:2" s="7" customFormat="1">
      <c r="B77" s="9"/>
    </row>
    <row r="78" spans="2:2" s="7" customFormat="1">
      <c r="B78" s="9"/>
    </row>
    <row r="79" spans="2:2" s="7" customFormat="1">
      <c r="B79" s="9"/>
    </row>
    <row r="80" spans="2:2" s="7" customFormat="1">
      <c r="B80" s="9"/>
    </row>
    <row r="81" spans="2:2" s="7" customFormat="1">
      <c r="B81" s="9"/>
    </row>
    <row r="82" spans="2:2" s="7" customFormat="1">
      <c r="B82" s="9"/>
    </row>
    <row r="83" spans="2:2" s="7" customFormat="1">
      <c r="B83" s="9"/>
    </row>
    <row r="84" spans="2:2" s="7" customFormat="1">
      <c r="B84" s="9"/>
    </row>
    <row r="85" spans="2:2" s="7" customFormat="1">
      <c r="B85" s="9"/>
    </row>
    <row r="86" spans="2:2" s="7" customFormat="1">
      <c r="B86" s="9"/>
    </row>
    <row r="87" spans="2:2" s="7" customFormat="1">
      <c r="B87" s="9"/>
    </row>
    <row r="88" spans="2:2" s="7" customFormat="1">
      <c r="B88" s="9"/>
    </row>
    <row r="89" spans="2:2" s="7" customFormat="1">
      <c r="B89" s="9"/>
    </row>
    <row r="90" spans="2:2" s="7" customFormat="1">
      <c r="B90" s="9"/>
    </row>
    <row r="91" spans="2:2" s="7" customFormat="1">
      <c r="B91" s="9"/>
    </row>
    <row r="92" spans="2:2" s="7" customFormat="1">
      <c r="B92" s="9"/>
    </row>
    <row r="93" spans="2:2" s="7" customFormat="1">
      <c r="B93" s="9"/>
    </row>
    <row r="94" spans="2:2" s="7" customFormat="1">
      <c r="B94" s="9"/>
    </row>
    <row r="95" spans="2:2" s="7" customFormat="1">
      <c r="B95" s="9"/>
    </row>
    <row r="96" spans="2:2" s="7" customFormat="1">
      <c r="B96" s="9"/>
    </row>
    <row r="97" spans="2:2" s="7" customFormat="1">
      <c r="B97" s="9"/>
    </row>
    <row r="98" spans="2:2" s="7" customFormat="1">
      <c r="B98" s="9"/>
    </row>
    <row r="99" spans="2:2" s="7" customFormat="1">
      <c r="B99" s="9"/>
    </row>
    <row r="100" spans="2:2" s="7" customFormat="1">
      <c r="B100" s="9"/>
    </row>
    <row r="101" spans="2:2" s="7" customFormat="1">
      <c r="B101" s="9"/>
    </row>
    <row r="102" spans="2:2" s="7" customFormat="1">
      <c r="B102" s="9"/>
    </row>
    <row r="103" spans="2:2" s="7" customFormat="1">
      <c r="B103" s="9"/>
    </row>
    <row r="104" spans="2:2" s="7" customFormat="1">
      <c r="B104" s="9"/>
    </row>
    <row r="105" spans="2:2" s="7" customFormat="1">
      <c r="B105" s="9"/>
    </row>
    <row r="106" spans="2:2" s="7" customFormat="1">
      <c r="B106" s="9"/>
    </row>
    <row r="107" spans="2:2" s="7" customFormat="1">
      <c r="B107" s="9"/>
    </row>
    <row r="108" spans="2:2" s="7" customFormat="1">
      <c r="B108" s="9"/>
    </row>
    <row r="109" spans="2:2" s="7" customFormat="1">
      <c r="B109" s="9"/>
    </row>
    <row r="110" spans="2:2" s="7" customFormat="1">
      <c r="B110" s="9"/>
    </row>
    <row r="111" spans="2:2" s="7" customFormat="1">
      <c r="B111" s="9"/>
    </row>
    <row r="112" spans="2:2" s="7" customFormat="1">
      <c r="B112" s="9"/>
    </row>
    <row r="113" spans="2:2" s="7" customFormat="1">
      <c r="B113" s="9"/>
    </row>
    <row r="114" spans="2:2" s="7" customFormat="1">
      <c r="B114" s="9"/>
    </row>
    <row r="115" spans="2:2" s="7" customFormat="1">
      <c r="B115" s="9"/>
    </row>
    <row r="116" spans="2:2" s="7" customFormat="1">
      <c r="B116" s="9"/>
    </row>
    <row r="117" spans="2:2" s="7" customFormat="1">
      <c r="B117" s="9"/>
    </row>
    <row r="118" spans="2:2" s="7" customFormat="1">
      <c r="B118" s="9"/>
    </row>
    <row r="119" spans="2:2" s="7" customFormat="1">
      <c r="B119" s="9"/>
    </row>
    <row r="120" spans="2:2" s="7" customFormat="1">
      <c r="B120" s="9"/>
    </row>
    <row r="121" spans="2:2" s="7" customFormat="1">
      <c r="B121" s="9"/>
    </row>
    <row r="122" spans="2:2" s="7" customFormat="1">
      <c r="B122" s="9"/>
    </row>
    <row r="123" spans="2:2" s="7" customFormat="1">
      <c r="B123" s="9"/>
    </row>
    <row r="124" spans="2:2" s="7" customFormat="1">
      <c r="B124" s="9"/>
    </row>
    <row r="125" spans="2:2" s="7" customFormat="1">
      <c r="B125" s="9"/>
    </row>
    <row r="126" spans="2:2" s="7" customFormat="1">
      <c r="B126" s="9"/>
    </row>
    <row r="127" spans="2:2" s="7" customFormat="1">
      <c r="B127" s="9"/>
    </row>
    <row r="128" spans="2:2" s="7" customFormat="1">
      <c r="B128" s="9"/>
    </row>
    <row r="129" spans="2:2" s="7" customFormat="1">
      <c r="B129" s="9"/>
    </row>
    <row r="130" spans="2:2" s="7" customFormat="1">
      <c r="B130" s="9"/>
    </row>
    <row r="131" spans="2:2" s="7" customFormat="1">
      <c r="B131" s="9"/>
    </row>
    <row r="132" spans="2:2" s="7" customFormat="1">
      <c r="B132" s="9"/>
    </row>
    <row r="133" spans="2:2" s="7" customFormat="1">
      <c r="B133" s="9"/>
    </row>
    <row r="134" spans="2:2" s="7" customFormat="1">
      <c r="B134" s="9"/>
    </row>
    <row r="135" spans="2:2" s="7" customFormat="1">
      <c r="B135" s="9"/>
    </row>
    <row r="136" spans="2:2" s="7" customFormat="1">
      <c r="B136" s="9"/>
    </row>
    <row r="137" spans="2:2" s="7" customFormat="1">
      <c r="B137" s="9"/>
    </row>
    <row r="138" spans="2:2" s="7" customFormat="1">
      <c r="B138" s="9"/>
    </row>
    <row r="139" spans="2:2" s="7" customFormat="1">
      <c r="B139" s="9"/>
    </row>
    <row r="140" spans="2:2" s="7" customFormat="1">
      <c r="B140" s="9"/>
    </row>
    <row r="141" spans="2:2" s="7" customFormat="1">
      <c r="B141" s="9"/>
    </row>
    <row r="142" spans="2:2" s="7" customFormat="1">
      <c r="B142" s="9"/>
    </row>
    <row r="143" spans="2:2" s="7" customFormat="1">
      <c r="B143" s="9"/>
    </row>
    <row r="144" spans="2:2" s="7" customFormat="1">
      <c r="B144" s="9"/>
    </row>
    <row r="145" spans="2:2" s="7" customFormat="1">
      <c r="B145" s="9"/>
    </row>
    <row r="146" spans="2:2" s="7" customFormat="1">
      <c r="B146" s="9"/>
    </row>
    <row r="147" spans="2:2" s="7" customFormat="1">
      <c r="B147" s="9"/>
    </row>
    <row r="148" spans="2:2" s="7" customFormat="1">
      <c r="B148" s="9"/>
    </row>
    <row r="149" spans="2:2" s="7" customFormat="1">
      <c r="B149" s="9"/>
    </row>
    <row r="150" spans="2:2" s="7" customFormat="1">
      <c r="B150" s="9"/>
    </row>
    <row r="151" spans="2:2" s="7" customFormat="1">
      <c r="B151" s="9"/>
    </row>
    <row r="152" spans="2:2" s="7" customFormat="1">
      <c r="B152" s="9"/>
    </row>
    <row r="153" spans="2:2" s="7" customFormat="1">
      <c r="B153" s="9"/>
    </row>
    <row r="154" spans="2:2" s="7" customFormat="1">
      <c r="B154" s="9"/>
    </row>
    <row r="155" spans="2:2" s="7" customFormat="1">
      <c r="B155" s="9"/>
    </row>
    <row r="156" spans="2:2" s="7" customFormat="1">
      <c r="B156" s="9"/>
    </row>
    <row r="157" spans="2:2" s="7" customFormat="1">
      <c r="B157" s="9"/>
    </row>
    <row r="158" spans="2:2" s="7" customFormat="1">
      <c r="B158" s="9"/>
    </row>
    <row r="159" spans="2:2" s="7" customFormat="1">
      <c r="B159" s="9"/>
    </row>
    <row r="160" spans="2:2" s="7" customFormat="1">
      <c r="B160" s="9"/>
    </row>
    <row r="161" spans="2:2" s="7" customFormat="1">
      <c r="B161" s="9"/>
    </row>
    <row r="162" spans="2:2" s="7" customFormat="1">
      <c r="B162" s="9"/>
    </row>
    <row r="163" spans="2:2" s="7" customFormat="1">
      <c r="B163" s="9"/>
    </row>
    <row r="164" spans="2:2" s="7" customFormat="1">
      <c r="B164" s="9"/>
    </row>
    <row r="165" spans="2:2" s="7" customFormat="1">
      <c r="B165" s="9"/>
    </row>
    <row r="166" spans="2:2" s="7" customFormat="1">
      <c r="B166" s="9"/>
    </row>
    <row r="167" spans="2:2" s="7" customFormat="1">
      <c r="B167" s="9"/>
    </row>
    <row r="168" spans="2:2" s="7" customFormat="1">
      <c r="B168" s="9"/>
    </row>
    <row r="169" spans="2:2" s="7" customFormat="1">
      <c r="B169" s="9"/>
    </row>
    <row r="170" spans="2:2" s="7" customFormat="1">
      <c r="B170" s="9"/>
    </row>
    <row r="171" spans="2:2" s="7" customFormat="1">
      <c r="B171" s="9"/>
    </row>
    <row r="172" spans="2:2" s="7" customFormat="1">
      <c r="B172" s="9"/>
    </row>
    <row r="173" spans="2:2" s="7" customFormat="1">
      <c r="B173" s="9"/>
    </row>
    <row r="174" spans="2:2" s="7" customFormat="1">
      <c r="B174" s="9"/>
    </row>
    <row r="175" spans="2:2" s="7" customFormat="1">
      <c r="B175" s="9"/>
    </row>
    <row r="176" spans="2:2" s="7" customFormat="1">
      <c r="B176" s="9"/>
    </row>
    <row r="177" spans="2:2" s="7" customFormat="1">
      <c r="B177" s="9"/>
    </row>
    <row r="178" spans="2:2" s="7" customFormat="1">
      <c r="B178" s="9"/>
    </row>
    <row r="179" spans="2:2" s="7" customFormat="1">
      <c r="B179" s="9"/>
    </row>
    <row r="180" spans="2:2" s="7" customFormat="1">
      <c r="B180" s="9"/>
    </row>
    <row r="181" spans="2:2" s="7" customFormat="1">
      <c r="B181" s="9"/>
    </row>
    <row r="182" spans="2:2" s="7" customFormat="1">
      <c r="B182" s="9"/>
    </row>
    <row r="183" spans="2:2" s="7" customFormat="1">
      <c r="B183" s="9"/>
    </row>
    <row r="184" spans="2:2" s="7" customFormat="1">
      <c r="B184" s="9"/>
    </row>
    <row r="185" spans="2:2" s="7" customFormat="1">
      <c r="B185" s="9"/>
    </row>
    <row r="186" spans="2:2" s="7" customFormat="1">
      <c r="B186" s="9"/>
    </row>
    <row r="187" spans="2:2" s="7" customFormat="1">
      <c r="B187" s="9"/>
    </row>
    <row r="188" spans="2:2" s="7" customFormat="1">
      <c r="B188" s="9"/>
    </row>
    <row r="189" spans="2:2" s="7" customFormat="1">
      <c r="B189" s="9"/>
    </row>
    <row r="190" spans="2:2" s="7" customFormat="1">
      <c r="B190" s="9"/>
    </row>
    <row r="191" spans="2:2" s="7" customFormat="1">
      <c r="B191" s="9"/>
    </row>
    <row r="192" spans="2:2" s="7" customFormat="1">
      <c r="B192" s="9"/>
    </row>
    <row r="193" spans="2:2" s="7" customFormat="1">
      <c r="B193" s="9"/>
    </row>
    <row r="194" spans="2:2" s="7" customFormat="1">
      <c r="B194" s="9"/>
    </row>
    <row r="195" spans="2:2" s="7" customFormat="1">
      <c r="B195" s="9"/>
    </row>
    <row r="196" spans="2:2" s="7" customFormat="1">
      <c r="B196" s="9"/>
    </row>
    <row r="197" spans="2:2" s="7" customFormat="1">
      <c r="B197" s="9"/>
    </row>
    <row r="198" spans="2:2" s="7" customFormat="1">
      <c r="B198" s="9"/>
    </row>
    <row r="199" spans="2:2" s="7" customFormat="1">
      <c r="B199" s="9"/>
    </row>
    <row r="200" spans="2:2" s="7" customFormat="1">
      <c r="B200" s="9"/>
    </row>
    <row r="201" spans="2:2" s="7" customFormat="1">
      <c r="B201" s="9"/>
    </row>
    <row r="202" spans="2:2" s="7" customFormat="1">
      <c r="B202" s="9"/>
    </row>
    <row r="203" spans="2:2" s="7" customFormat="1">
      <c r="B203" s="9"/>
    </row>
    <row r="204" spans="2:2" s="7" customFormat="1">
      <c r="B204" s="9"/>
    </row>
    <row r="205" spans="2:2" s="7" customFormat="1">
      <c r="B205" s="9"/>
    </row>
    <row r="206" spans="2:2" s="7" customFormat="1">
      <c r="B206" s="9"/>
    </row>
    <row r="207" spans="2:2" s="7" customFormat="1">
      <c r="B207" s="9"/>
    </row>
    <row r="208" spans="2:2" s="7" customFormat="1">
      <c r="B208" s="9"/>
    </row>
    <row r="209" spans="2:2" s="7" customFormat="1">
      <c r="B209" s="9"/>
    </row>
    <row r="210" spans="2:2" s="7" customFormat="1">
      <c r="B210" s="9"/>
    </row>
    <row r="211" spans="2:2" s="7" customFormat="1">
      <c r="B211" s="9"/>
    </row>
    <row r="212" spans="2:2" s="7" customFormat="1">
      <c r="B212" s="9"/>
    </row>
    <row r="213" spans="2:2" s="7" customFormat="1">
      <c r="B213" s="9"/>
    </row>
    <row r="214" spans="2:2" s="7" customFormat="1">
      <c r="B214" s="9"/>
    </row>
    <row r="215" spans="2:2" s="7" customFormat="1">
      <c r="B215" s="9"/>
    </row>
    <row r="216" spans="2:2" s="7" customFormat="1">
      <c r="B216" s="9"/>
    </row>
    <row r="217" spans="2:2" s="7" customFormat="1">
      <c r="B217" s="9"/>
    </row>
    <row r="218" spans="2:2" s="7" customFormat="1">
      <c r="B218" s="9"/>
    </row>
    <row r="219" spans="2:2" s="7" customFormat="1">
      <c r="B219" s="9"/>
    </row>
    <row r="220" spans="2:2" s="7" customFormat="1">
      <c r="B220" s="9"/>
    </row>
    <row r="221" spans="2:2" s="7" customFormat="1">
      <c r="B221" s="9"/>
    </row>
    <row r="222" spans="2:2" s="7" customFormat="1">
      <c r="B222" s="9"/>
    </row>
    <row r="223" spans="2:2" s="7" customFormat="1">
      <c r="B223" s="9"/>
    </row>
    <row r="224" spans="2:2" s="7" customFormat="1">
      <c r="B224" s="9"/>
    </row>
    <row r="225" spans="2:2" s="7" customFormat="1">
      <c r="B225" s="9"/>
    </row>
  </sheetData>
  <conditionalFormatting sqref="C5:G32">
    <cfRule type="colorScale" priority="4">
      <colorScale>
        <cfvo type="min"/>
        <cfvo type="percentile" val="50"/>
        <cfvo type="max"/>
        <color rgb="FFF8696B"/>
        <color rgb="FFFFEB84"/>
        <color rgb="FF63BE7B"/>
      </colorScale>
    </cfRule>
  </conditionalFormatting>
  <conditionalFormatting sqref="H5:H32">
    <cfRule type="dataBar" priority="3">
      <dataBar>
        <cfvo type="min"/>
        <cfvo type="max"/>
        <color rgb="FF638EC6"/>
      </dataBar>
      <extLst>
        <ext xmlns:x14="http://schemas.microsoft.com/office/spreadsheetml/2009/9/main" uri="{B025F937-C7B1-47D3-B67F-A62EFF666E3E}">
          <x14:id>{3C3DBC0B-25BF-462F-A432-08FE8E0DC3E5}</x14:id>
        </ext>
      </extLst>
    </cfRule>
  </conditionalFormatting>
  <conditionalFormatting sqref="N5:N17 N20">
    <cfRule type="dataBar" priority="151">
      <dataBar>
        <cfvo type="min"/>
        <cfvo type="max"/>
        <color rgb="FF638EC6"/>
      </dataBar>
      <extLst>
        <ext xmlns:x14="http://schemas.microsoft.com/office/spreadsheetml/2009/9/main" uri="{B025F937-C7B1-47D3-B67F-A62EFF666E3E}">
          <x14:id>{A4E0B8FB-9FCE-44D6-9CE7-665D5143A3D8}</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3C3DBC0B-25BF-462F-A432-08FE8E0DC3E5}">
            <x14:dataBar minLength="0" maxLength="100" border="1" negativeBarBorderColorSameAsPositive="0">
              <x14:cfvo type="autoMin"/>
              <x14:cfvo type="autoMax"/>
              <x14:borderColor rgb="FF638EC6"/>
              <x14:negativeFillColor rgb="FFFF0000"/>
              <x14:negativeBorderColor rgb="FFFF0000"/>
              <x14:axisColor rgb="FF000000"/>
            </x14:dataBar>
          </x14:cfRule>
          <xm:sqref>H5:H32</xm:sqref>
        </x14:conditionalFormatting>
        <x14:conditionalFormatting xmlns:xm="http://schemas.microsoft.com/office/excel/2006/main">
          <x14:cfRule type="dataBar" id="{A4E0B8FB-9FCE-44D6-9CE7-665D5143A3D8}">
            <x14:dataBar minLength="0" maxLength="100" border="1" negativeBarBorderColorSameAsPositive="0">
              <x14:cfvo type="autoMin"/>
              <x14:cfvo type="autoMax"/>
              <x14:borderColor rgb="FF638EC6"/>
              <x14:negativeFillColor rgb="FFFF0000"/>
              <x14:negativeBorderColor rgb="FFFF0000"/>
              <x14:axisColor rgb="FF000000"/>
            </x14:dataBar>
          </x14:cfRule>
          <xm:sqref>N5:N17 N20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2F337-132D-4C58-968A-BEA9BBF53B61}">
  <sheetPr codeName="Sheet14"/>
  <dimension ref="A1:F78"/>
  <sheetViews>
    <sheetView workbookViewId="0">
      <selection activeCell="B27" sqref="B27"/>
    </sheetView>
  </sheetViews>
  <sheetFormatPr defaultRowHeight="15"/>
  <cols>
    <col min="1" max="1" width="13.28515625" customWidth="1"/>
    <col min="2" max="2" width="107.5703125" customWidth="1"/>
    <col min="3" max="3" width="13.85546875" customWidth="1"/>
    <col min="4" max="4" width="45.140625" style="4" bestFit="1" customWidth="1"/>
    <col min="5" max="5" width="10.7109375" style="4" customWidth="1"/>
    <col min="6" max="6" width="60" customWidth="1"/>
  </cols>
  <sheetData>
    <row r="1" spans="1:6" ht="18.75">
      <c r="A1" s="63" t="s">
        <v>165</v>
      </c>
      <c r="B1" s="63" t="s">
        <v>162</v>
      </c>
      <c r="C1" s="63" t="s">
        <v>166</v>
      </c>
      <c r="D1" s="63" t="s">
        <v>163</v>
      </c>
      <c r="E1" s="63" t="s">
        <v>228</v>
      </c>
      <c r="F1" s="63" t="s">
        <v>242</v>
      </c>
    </row>
    <row r="2" spans="1:6">
      <c r="A2" s="33" t="s">
        <v>160</v>
      </c>
      <c r="B2" s="33" t="s">
        <v>160</v>
      </c>
      <c r="C2" s="33"/>
      <c r="D2" s="32"/>
      <c r="E2" s="33"/>
      <c r="F2" s="33"/>
    </row>
    <row r="3" spans="1:6">
      <c r="A3" s="36" t="s">
        <v>1</v>
      </c>
      <c r="B3" s="37" t="s">
        <v>333</v>
      </c>
      <c r="C3" s="37" t="s">
        <v>160</v>
      </c>
      <c r="D3" s="35" t="s">
        <v>160</v>
      </c>
      <c r="E3" s="38">
        <f>SUM(E4:E15)</f>
        <v>45</v>
      </c>
      <c r="F3" s="42"/>
    </row>
    <row r="4" spans="1:6" ht="15.6" customHeight="1">
      <c r="A4" s="43" t="s">
        <v>2</v>
      </c>
      <c r="B4" s="44" t="s">
        <v>115</v>
      </c>
      <c r="C4" s="44" t="s">
        <v>1</v>
      </c>
      <c r="D4" s="44" t="s">
        <v>333</v>
      </c>
      <c r="E4" s="45">
        <v>0</v>
      </c>
      <c r="F4" s="43"/>
    </row>
    <row r="5" spans="1:6" ht="15.6" customHeight="1">
      <c r="A5" s="1" t="s">
        <v>17</v>
      </c>
      <c r="B5" s="2" t="s">
        <v>16</v>
      </c>
      <c r="C5" s="2" t="s">
        <v>2</v>
      </c>
      <c r="D5" s="2" t="s">
        <v>115</v>
      </c>
      <c r="E5" s="34">
        <v>5</v>
      </c>
      <c r="F5" t="s">
        <v>170</v>
      </c>
    </row>
    <row r="6" spans="1:6" ht="15.6" customHeight="1">
      <c r="A6" s="1" t="s">
        <v>18</v>
      </c>
      <c r="B6" s="2" t="s">
        <v>164</v>
      </c>
      <c r="C6" s="2" t="s">
        <v>2</v>
      </c>
      <c r="D6" s="2" t="s">
        <v>115</v>
      </c>
      <c r="E6" s="34">
        <v>5</v>
      </c>
      <c r="F6" t="s">
        <v>170</v>
      </c>
    </row>
    <row r="7" spans="1:6" ht="15.6" customHeight="1">
      <c r="A7" s="1" t="s">
        <v>19</v>
      </c>
      <c r="B7" s="2" t="s">
        <v>20</v>
      </c>
      <c r="C7" s="2" t="s">
        <v>2</v>
      </c>
      <c r="D7" s="2" t="s">
        <v>115</v>
      </c>
      <c r="E7" s="34">
        <v>5</v>
      </c>
      <c r="F7" t="s">
        <v>170</v>
      </c>
    </row>
    <row r="8" spans="1:6" ht="15.6" customHeight="1">
      <c r="A8" s="46" t="s">
        <v>3</v>
      </c>
      <c r="B8" s="44" t="s">
        <v>51</v>
      </c>
      <c r="C8" s="44" t="s">
        <v>1</v>
      </c>
      <c r="D8" s="44" t="s">
        <v>333</v>
      </c>
      <c r="E8" s="47">
        <v>0</v>
      </c>
      <c r="F8" s="43"/>
    </row>
    <row r="9" spans="1:6" ht="15.6" customHeight="1">
      <c r="A9" s="1" t="s">
        <v>21</v>
      </c>
      <c r="B9" s="2" t="s">
        <v>24</v>
      </c>
      <c r="C9" s="2" t="s">
        <v>3</v>
      </c>
      <c r="D9" s="2" t="s">
        <v>51</v>
      </c>
      <c r="E9" s="34">
        <v>5</v>
      </c>
      <c r="F9" t="s">
        <v>170</v>
      </c>
    </row>
    <row r="10" spans="1:6" ht="15.6" customHeight="1">
      <c r="A10" s="1" t="s">
        <v>22</v>
      </c>
      <c r="B10" s="2" t="s">
        <v>25</v>
      </c>
      <c r="C10" s="2" t="s">
        <v>3</v>
      </c>
      <c r="D10" s="2" t="s">
        <v>51</v>
      </c>
      <c r="E10" s="34">
        <v>5</v>
      </c>
      <c r="F10" t="s">
        <v>170</v>
      </c>
    </row>
    <row r="11" spans="1:6" ht="15.6" customHeight="1">
      <c r="A11" s="1" t="s">
        <v>23</v>
      </c>
      <c r="B11" s="2" t="s">
        <v>26</v>
      </c>
      <c r="C11" s="2" t="s">
        <v>3</v>
      </c>
      <c r="D11" s="2" t="s">
        <v>51</v>
      </c>
      <c r="E11" s="34">
        <v>5</v>
      </c>
      <c r="F11" t="s">
        <v>170</v>
      </c>
    </row>
    <row r="12" spans="1:6" ht="15.6" customHeight="1">
      <c r="A12" s="44" t="s">
        <v>4</v>
      </c>
      <c r="B12" s="44" t="s">
        <v>50</v>
      </c>
      <c r="C12" s="44" t="s">
        <v>1</v>
      </c>
      <c r="D12" s="44" t="s">
        <v>333</v>
      </c>
      <c r="E12" s="47">
        <v>0</v>
      </c>
      <c r="F12" s="43"/>
    </row>
    <row r="13" spans="1:6" ht="15.6" customHeight="1">
      <c r="A13" s="1" t="s">
        <v>27</v>
      </c>
      <c r="B13" s="2" t="s">
        <v>30</v>
      </c>
      <c r="C13" s="2" t="s">
        <v>4</v>
      </c>
      <c r="D13" s="2" t="s">
        <v>50</v>
      </c>
      <c r="E13" s="34">
        <v>5</v>
      </c>
      <c r="F13" t="s">
        <v>170</v>
      </c>
    </row>
    <row r="14" spans="1:6" ht="15.6" customHeight="1">
      <c r="A14" s="1" t="s">
        <v>28</v>
      </c>
      <c r="B14" s="2" t="s">
        <v>31</v>
      </c>
      <c r="C14" s="2" t="s">
        <v>4</v>
      </c>
      <c r="D14" s="2" t="s">
        <v>50</v>
      </c>
      <c r="E14" s="34">
        <v>5</v>
      </c>
      <c r="F14" t="s">
        <v>170</v>
      </c>
    </row>
    <row r="15" spans="1:6" ht="15.6" customHeight="1">
      <c r="A15" s="1" t="s">
        <v>29</v>
      </c>
      <c r="B15" s="2" t="s">
        <v>32</v>
      </c>
      <c r="C15" s="2" t="s">
        <v>4</v>
      </c>
      <c r="D15" s="2" t="s">
        <v>50</v>
      </c>
      <c r="E15" s="34">
        <v>5</v>
      </c>
      <c r="F15" t="s">
        <v>170</v>
      </c>
    </row>
    <row r="16" spans="1:6" ht="15.6" customHeight="1">
      <c r="A16" s="39" t="s">
        <v>5</v>
      </c>
      <c r="B16" s="39" t="s">
        <v>335</v>
      </c>
      <c r="C16" s="37" t="s">
        <v>160</v>
      </c>
      <c r="D16" s="35" t="s">
        <v>160</v>
      </c>
      <c r="E16" s="38">
        <f>SUM(E17:E30)</f>
        <v>47</v>
      </c>
      <c r="F16" s="42"/>
    </row>
    <row r="17" spans="1:6" ht="15.6" customHeight="1">
      <c r="A17" s="46" t="s">
        <v>6</v>
      </c>
      <c r="B17" s="44" t="s">
        <v>52</v>
      </c>
      <c r="C17" s="44" t="s">
        <v>5</v>
      </c>
      <c r="D17" s="44" t="s">
        <v>335</v>
      </c>
      <c r="E17" s="47">
        <v>0</v>
      </c>
      <c r="F17" s="43"/>
    </row>
    <row r="18" spans="1:6" ht="15.6" customHeight="1">
      <c r="A18" s="1" t="s">
        <v>100</v>
      </c>
      <c r="B18" s="2" t="s">
        <v>97</v>
      </c>
      <c r="C18" s="1" t="s">
        <v>6</v>
      </c>
      <c r="D18" s="2" t="s">
        <v>52</v>
      </c>
      <c r="E18" s="34">
        <v>3</v>
      </c>
      <c r="F18" t="s">
        <v>35</v>
      </c>
    </row>
    <row r="19" spans="1:6" ht="15.6" customHeight="1">
      <c r="A19" s="1" t="s">
        <v>101</v>
      </c>
      <c r="B19" s="2" t="s">
        <v>98</v>
      </c>
      <c r="C19" s="1" t="s">
        <v>6</v>
      </c>
      <c r="D19" s="2" t="s">
        <v>52</v>
      </c>
      <c r="E19" s="34">
        <v>4</v>
      </c>
      <c r="F19" t="s">
        <v>35</v>
      </c>
    </row>
    <row r="20" spans="1:6" ht="15.6" customHeight="1">
      <c r="A20" s="1" t="s">
        <v>102</v>
      </c>
      <c r="B20" s="2" t="s">
        <v>99</v>
      </c>
      <c r="C20" s="1" t="s">
        <v>6</v>
      </c>
      <c r="D20" s="2" t="s">
        <v>52</v>
      </c>
      <c r="E20" s="34">
        <v>5</v>
      </c>
      <c r="F20" t="s">
        <v>35</v>
      </c>
    </row>
    <row r="21" spans="1:6" ht="15.6" customHeight="1">
      <c r="A21" s="1" t="s">
        <v>33</v>
      </c>
      <c r="B21" s="3" t="s">
        <v>93</v>
      </c>
      <c r="C21" s="1" t="s">
        <v>6</v>
      </c>
      <c r="D21" s="2" t="s">
        <v>52</v>
      </c>
      <c r="E21" s="34">
        <v>5</v>
      </c>
      <c r="F21" t="s">
        <v>172</v>
      </c>
    </row>
    <row r="22" spans="1:6" ht="15.6" customHeight="1">
      <c r="A22" s="1" t="s">
        <v>34</v>
      </c>
      <c r="B22" s="2" t="s">
        <v>36</v>
      </c>
      <c r="C22" s="1" t="s">
        <v>6</v>
      </c>
      <c r="D22" s="2" t="s">
        <v>52</v>
      </c>
      <c r="E22" s="34">
        <v>5</v>
      </c>
      <c r="F22" t="s">
        <v>180</v>
      </c>
    </row>
    <row r="23" spans="1:6" ht="15.6" customHeight="1">
      <c r="A23" s="44" t="s">
        <v>7</v>
      </c>
      <c r="B23" s="44" t="s">
        <v>53</v>
      </c>
      <c r="C23" s="44" t="s">
        <v>5</v>
      </c>
      <c r="D23" s="44" t="s">
        <v>335</v>
      </c>
      <c r="E23" s="47">
        <v>0</v>
      </c>
      <c r="F23" s="43"/>
    </row>
    <row r="24" spans="1:6" ht="15.6" customHeight="1">
      <c r="A24" s="1" t="s">
        <v>47</v>
      </c>
      <c r="B24" s="2" t="s">
        <v>94</v>
      </c>
      <c r="C24" s="2" t="s">
        <v>7</v>
      </c>
      <c r="D24" s="2" t="s">
        <v>53</v>
      </c>
      <c r="E24" s="34">
        <v>5</v>
      </c>
      <c r="F24" t="s">
        <v>176</v>
      </c>
    </row>
    <row r="25" spans="1:6" ht="15.6" customHeight="1">
      <c r="A25" s="1" t="s">
        <v>48</v>
      </c>
      <c r="B25" s="2" t="s">
        <v>37</v>
      </c>
      <c r="C25" s="2" t="s">
        <v>7</v>
      </c>
      <c r="D25" s="2" t="s">
        <v>53</v>
      </c>
      <c r="E25" s="34">
        <v>5</v>
      </c>
      <c r="F25" t="s">
        <v>180</v>
      </c>
    </row>
    <row r="26" spans="1:6" ht="15.6" customHeight="1">
      <c r="A26" s="1" t="s">
        <v>95</v>
      </c>
      <c r="B26" s="2" t="s">
        <v>96</v>
      </c>
      <c r="C26" s="2" t="s">
        <v>7</v>
      </c>
      <c r="D26" s="2" t="s">
        <v>53</v>
      </c>
      <c r="E26" s="34">
        <v>5</v>
      </c>
      <c r="F26" t="s">
        <v>180</v>
      </c>
    </row>
    <row r="27" spans="1:6" ht="15.6" customHeight="1">
      <c r="A27" s="46" t="s">
        <v>8</v>
      </c>
      <c r="B27" s="44" t="s">
        <v>55</v>
      </c>
      <c r="C27" s="44" t="s">
        <v>5</v>
      </c>
      <c r="D27" s="44" t="s">
        <v>335</v>
      </c>
      <c r="E27" s="47">
        <v>0</v>
      </c>
      <c r="F27" s="43"/>
    </row>
    <row r="28" spans="1:6" ht="15.6" customHeight="1">
      <c r="A28" s="1" t="s">
        <v>54</v>
      </c>
      <c r="B28" s="2" t="s">
        <v>38</v>
      </c>
      <c r="C28" s="1" t="s">
        <v>8</v>
      </c>
      <c r="D28" s="2" t="s">
        <v>55</v>
      </c>
      <c r="E28" s="34">
        <v>5</v>
      </c>
      <c r="F28" t="s">
        <v>35</v>
      </c>
    </row>
    <row r="29" spans="1:6" ht="15.6" customHeight="1">
      <c r="A29" s="44" t="s">
        <v>9</v>
      </c>
      <c r="B29" s="44" t="s">
        <v>57</v>
      </c>
      <c r="C29" s="44" t="s">
        <v>5</v>
      </c>
      <c r="D29" s="44" t="s">
        <v>335</v>
      </c>
      <c r="E29" s="47">
        <v>0</v>
      </c>
      <c r="F29" s="43"/>
    </row>
    <row r="30" spans="1:6" ht="15.6" customHeight="1">
      <c r="A30" s="1" t="s">
        <v>56</v>
      </c>
      <c r="B30" s="2" t="s">
        <v>39</v>
      </c>
      <c r="C30" s="2" t="s">
        <v>9</v>
      </c>
      <c r="D30" s="2" t="s">
        <v>57</v>
      </c>
      <c r="E30" s="34">
        <v>5</v>
      </c>
      <c r="F30" t="s">
        <v>176</v>
      </c>
    </row>
    <row r="31" spans="1:6" ht="15.6" customHeight="1">
      <c r="A31" s="36" t="s">
        <v>10</v>
      </c>
      <c r="B31" s="39" t="s">
        <v>332</v>
      </c>
      <c r="C31" s="39" t="s">
        <v>160</v>
      </c>
      <c r="D31" s="35" t="s">
        <v>160</v>
      </c>
      <c r="E31" s="38">
        <f>SUM(E32:E52)</f>
        <v>90</v>
      </c>
      <c r="F31" s="42"/>
    </row>
    <row r="32" spans="1:6" ht="15.6" customHeight="1">
      <c r="A32" s="43" t="s">
        <v>11</v>
      </c>
      <c r="B32" s="44" t="s">
        <v>65</v>
      </c>
      <c r="C32" s="44" t="s">
        <v>10</v>
      </c>
      <c r="D32" s="44" t="s">
        <v>332</v>
      </c>
      <c r="E32" s="47">
        <v>0</v>
      </c>
      <c r="F32" s="43"/>
    </row>
    <row r="33" spans="1:6" ht="15.6" customHeight="1">
      <c r="A33" s="1" t="s">
        <v>58</v>
      </c>
      <c r="B33" s="2" t="s">
        <v>40</v>
      </c>
      <c r="C33" t="s">
        <v>11</v>
      </c>
      <c r="D33" s="2" t="s">
        <v>65</v>
      </c>
      <c r="E33" s="34">
        <v>5</v>
      </c>
      <c r="F33" t="s">
        <v>173</v>
      </c>
    </row>
    <row r="34" spans="1:6" ht="15.6" customHeight="1">
      <c r="A34" s="1" t="s">
        <v>59</v>
      </c>
      <c r="B34" s="2" t="s">
        <v>41</v>
      </c>
      <c r="C34" t="s">
        <v>11</v>
      </c>
      <c r="D34" s="2" t="s">
        <v>65</v>
      </c>
      <c r="E34" s="34">
        <v>5</v>
      </c>
      <c r="F34" t="s">
        <v>173</v>
      </c>
    </row>
    <row r="35" spans="1:6" ht="15.6" customHeight="1">
      <c r="A35" s="1" t="s">
        <v>60</v>
      </c>
      <c r="B35" s="2" t="s">
        <v>42</v>
      </c>
      <c r="C35" t="s">
        <v>11</v>
      </c>
      <c r="D35" s="2" t="s">
        <v>65</v>
      </c>
      <c r="E35" s="34">
        <v>5</v>
      </c>
      <c r="F35" t="s">
        <v>175</v>
      </c>
    </row>
    <row r="36" spans="1:6" ht="15.6" customHeight="1">
      <c r="A36" s="1" t="s">
        <v>61</v>
      </c>
      <c r="B36" s="2" t="s">
        <v>43</v>
      </c>
      <c r="C36" t="s">
        <v>11</v>
      </c>
      <c r="D36" s="2" t="s">
        <v>65</v>
      </c>
      <c r="E36" s="34">
        <v>5</v>
      </c>
      <c r="F36" t="s">
        <v>173</v>
      </c>
    </row>
    <row r="37" spans="1:6" ht="15.6" customHeight="1">
      <c r="A37" s="1" t="s">
        <v>62</v>
      </c>
      <c r="B37" s="2" t="s">
        <v>44</v>
      </c>
      <c r="C37" t="s">
        <v>11</v>
      </c>
      <c r="D37" s="2" t="s">
        <v>65</v>
      </c>
      <c r="E37" s="34">
        <v>5</v>
      </c>
      <c r="F37" t="s">
        <v>182</v>
      </c>
    </row>
    <row r="38" spans="1:6" ht="15.6" customHeight="1">
      <c r="A38" s="1" t="s">
        <v>63</v>
      </c>
      <c r="B38" s="2" t="s">
        <v>45</v>
      </c>
      <c r="C38" t="s">
        <v>11</v>
      </c>
      <c r="D38" s="2" t="s">
        <v>65</v>
      </c>
      <c r="E38" s="34">
        <v>5</v>
      </c>
      <c r="F38" t="s">
        <v>173</v>
      </c>
    </row>
    <row r="39" spans="1:6" ht="15.6" customHeight="1">
      <c r="A39" s="1" t="s">
        <v>79</v>
      </c>
      <c r="B39" s="4" t="s">
        <v>70</v>
      </c>
      <c r="C39" t="s">
        <v>11</v>
      </c>
      <c r="D39" s="2" t="s">
        <v>65</v>
      </c>
      <c r="E39" s="34">
        <v>5</v>
      </c>
      <c r="F39" t="s">
        <v>175</v>
      </c>
    </row>
    <row r="40" spans="1:6" ht="15.6" customHeight="1">
      <c r="A40" s="43" t="s">
        <v>12</v>
      </c>
      <c r="B40" s="44" t="s">
        <v>161</v>
      </c>
      <c r="C40" s="44" t="s">
        <v>10</v>
      </c>
      <c r="D40" s="44" t="s">
        <v>332</v>
      </c>
      <c r="E40" s="47">
        <v>0</v>
      </c>
      <c r="F40" s="43"/>
    </row>
    <row r="41" spans="1:6" ht="15.6" customHeight="1">
      <c r="A41" t="s">
        <v>67</v>
      </c>
      <c r="B41" s="2" t="s">
        <v>46</v>
      </c>
      <c r="C41" t="s">
        <v>12</v>
      </c>
      <c r="D41" s="2" t="s">
        <v>161</v>
      </c>
      <c r="E41" s="34">
        <v>5</v>
      </c>
      <c r="F41" t="s">
        <v>174</v>
      </c>
    </row>
    <row r="42" spans="1:6" ht="15.6" customHeight="1">
      <c r="A42" t="s">
        <v>68</v>
      </c>
      <c r="B42" s="2" t="s">
        <v>78</v>
      </c>
      <c r="C42" t="s">
        <v>12</v>
      </c>
      <c r="D42" s="2" t="s">
        <v>161</v>
      </c>
      <c r="E42" s="34">
        <v>5</v>
      </c>
      <c r="F42" t="s">
        <v>175</v>
      </c>
    </row>
    <row r="43" spans="1:6" ht="15.6" customHeight="1">
      <c r="A43" t="s">
        <v>71</v>
      </c>
      <c r="B43" s="5" t="s">
        <v>69</v>
      </c>
      <c r="C43" t="s">
        <v>12</v>
      </c>
      <c r="D43" s="2" t="s">
        <v>161</v>
      </c>
      <c r="E43" s="34">
        <v>5</v>
      </c>
      <c r="F43" t="s">
        <v>174</v>
      </c>
    </row>
    <row r="44" spans="1:6" ht="15.6" customHeight="1">
      <c r="A44" t="s">
        <v>72</v>
      </c>
      <c r="B44" s="4" t="s">
        <v>75</v>
      </c>
      <c r="C44" t="s">
        <v>12</v>
      </c>
      <c r="D44" s="2" t="s">
        <v>161</v>
      </c>
      <c r="E44" s="34">
        <v>5</v>
      </c>
      <c r="F44" t="s">
        <v>174</v>
      </c>
    </row>
    <row r="45" spans="1:6" ht="15.6" customHeight="1">
      <c r="A45" t="s">
        <v>73</v>
      </c>
      <c r="B45" s="4" t="s">
        <v>76</v>
      </c>
      <c r="C45" t="s">
        <v>12</v>
      </c>
      <c r="D45" s="2" t="s">
        <v>161</v>
      </c>
      <c r="E45" s="34">
        <v>5</v>
      </c>
      <c r="F45" t="s">
        <v>174</v>
      </c>
    </row>
    <row r="46" spans="1:6" ht="15.6" customHeight="1">
      <c r="A46" t="s">
        <v>74</v>
      </c>
      <c r="B46" s="4" t="s">
        <v>77</v>
      </c>
      <c r="C46" t="s">
        <v>12</v>
      </c>
      <c r="D46" s="2" t="s">
        <v>161</v>
      </c>
      <c r="E46" s="34">
        <v>5</v>
      </c>
      <c r="F46" t="s">
        <v>174</v>
      </c>
    </row>
    <row r="47" spans="1:6" ht="15.6" customHeight="1">
      <c r="A47" s="43" t="s">
        <v>336</v>
      </c>
      <c r="B47" s="44" t="s">
        <v>346</v>
      </c>
      <c r="C47" s="44" t="s">
        <v>10</v>
      </c>
      <c r="D47" s="44" t="s">
        <v>332</v>
      </c>
      <c r="E47" s="47">
        <v>0</v>
      </c>
      <c r="F47" s="43"/>
    </row>
    <row r="48" spans="1:6" ht="15.6" customHeight="1">
      <c r="A48" s="1" t="s">
        <v>337</v>
      </c>
      <c r="B48" s="2" t="s">
        <v>339</v>
      </c>
      <c r="C48" s="1" t="s">
        <v>336</v>
      </c>
      <c r="D48" s="2" t="s">
        <v>346</v>
      </c>
      <c r="E48" s="2">
        <v>5</v>
      </c>
      <c r="F48" s="2" t="s">
        <v>346</v>
      </c>
    </row>
    <row r="49" spans="1:6" ht="15.6" customHeight="1">
      <c r="A49" s="1" t="s">
        <v>338</v>
      </c>
      <c r="B49" s="2" t="s">
        <v>340</v>
      </c>
      <c r="C49" s="1" t="s">
        <v>336</v>
      </c>
      <c r="D49" s="2" t="s">
        <v>346</v>
      </c>
      <c r="E49" s="2">
        <v>5</v>
      </c>
      <c r="F49" s="2" t="s">
        <v>346</v>
      </c>
    </row>
    <row r="50" spans="1:6" ht="15.6" customHeight="1">
      <c r="A50" s="1" t="s">
        <v>341</v>
      </c>
      <c r="B50" s="2" t="s">
        <v>342</v>
      </c>
      <c r="C50" s="1" t="s">
        <v>336</v>
      </c>
      <c r="D50" s="2" t="s">
        <v>346</v>
      </c>
      <c r="E50" s="2">
        <v>5</v>
      </c>
      <c r="F50" s="2" t="s">
        <v>346</v>
      </c>
    </row>
    <row r="51" spans="1:6">
      <c r="A51" s="1" t="s">
        <v>343</v>
      </c>
      <c r="B51" s="2" t="s">
        <v>345</v>
      </c>
      <c r="C51" s="1" t="s">
        <v>336</v>
      </c>
      <c r="D51" s="2" t="s">
        <v>346</v>
      </c>
      <c r="E51" s="2">
        <v>5</v>
      </c>
      <c r="F51" s="2" t="s">
        <v>346</v>
      </c>
    </row>
    <row r="52" spans="1:6" ht="15.6" customHeight="1">
      <c r="A52" s="1" t="s">
        <v>344</v>
      </c>
      <c r="B52" s="2" t="s">
        <v>347</v>
      </c>
      <c r="C52" s="1" t="s">
        <v>336</v>
      </c>
      <c r="D52" s="2" t="s">
        <v>346</v>
      </c>
      <c r="E52" s="2">
        <v>5</v>
      </c>
      <c r="F52" s="2" t="s">
        <v>346</v>
      </c>
    </row>
    <row r="53" spans="1:6" ht="15.6" customHeight="1">
      <c r="A53" s="36" t="s">
        <v>123</v>
      </c>
      <c r="B53" s="39" t="s">
        <v>122</v>
      </c>
      <c r="C53" s="39" t="s">
        <v>160</v>
      </c>
      <c r="D53" s="35" t="s">
        <v>160</v>
      </c>
      <c r="E53" s="38">
        <f>SUM(E54:E72)</f>
        <v>80</v>
      </c>
      <c r="F53" s="42"/>
    </row>
    <row r="54" spans="1:6" ht="15.6" customHeight="1">
      <c r="A54" s="43" t="s">
        <v>200</v>
      </c>
      <c r="B54" s="44" t="s">
        <v>80</v>
      </c>
      <c r="C54" s="44" t="s">
        <v>123</v>
      </c>
      <c r="D54" s="44" t="s">
        <v>122</v>
      </c>
      <c r="E54" s="47">
        <v>0</v>
      </c>
      <c r="F54" s="43"/>
    </row>
    <row r="55" spans="1:6" ht="15.6" customHeight="1">
      <c r="A55" t="s">
        <v>203</v>
      </c>
      <c r="B55" s="5" t="s">
        <v>81</v>
      </c>
      <c r="C55" s="2" t="s">
        <v>200</v>
      </c>
      <c r="D55" s="2" t="s">
        <v>80</v>
      </c>
      <c r="E55" s="34">
        <v>5</v>
      </c>
      <c r="F55" t="s">
        <v>177</v>
      </c>
    </row>
    <row r="56" spans="1:6" ht="15.6" customHeight="1">
      <c r="A56" t="s">
        <v>204</v>
      </c>
      <c r="B56" s="5" t="s">
        <v>82</v>
      </c>
      <c r="C56" s="2" t="s">
        <v>200</v>
      </c>
      <c r="D56" s="2" t="s">
        <v>80</v>
      </c>
      <c r="E56" s="34">
        <v>5</v>
      </c>
      <c r="F56" t="s">
        <v>177</v>
      </c>
    </row>
    <row r="57" spans="1:6" ht="15.6" customHeight="1">
      <c r="A57" t="s">
        <v>205</v>
      </c>
      <c r="B57" s="4" t="s">
        <v>83</v>
      </c>
      <c r="C57" s="2" t="s">
        <v>200</v>
      </c>
      <c r="D57" s="2" t="s">
        <v>80</v>
      </c>
      <c r="E57" s="34">
        <v>5</v>
      </c>
      <c r="F57" t="s">
        <v>177</v>
      </c>
    </row>
    <row r="58" spans="1:6" ht="15.6" customHeight="1">
      <c r="A58" t="s">
        <v>206</v>
      </c>
      <c r="B58" s="4" t="s">
        <v>84</v>
      </c>
      <c r="C58" s="2" t="s">
        <v>200</v>
      </c>
      <c r="D58" s="2" t="s">
        <v>80</v>
      </c>
      <c r="E58" s="34">
        <v>5</v>
      </c>
      <c r="F58" t="s">
        <v>177</v>
      </c>
    </row>
    <row r="59" spans="1:6" ht="15.6" customHeight="1">
      <c r="A59" t="s">
        <v>207</v>
      </c>
      <c r="B59" s="4" t="s">
        <v>85</v>
      </c>
      <c r="C59" s="2" t="s">
        <v>200</v>
      </c>
      <c r="D59" s="2" t="s">
        <v>80</v>
      </c>
      <c r="E59" s="34">
        <v>5</v>
      </c>
      <c r="F59" t="s">
        <v>177</v>
      </c>
    </row>
    <row r="60" spans="1:6" ht="15.6" customHeight="1">
      <c r="A60" t="s">
        <v>208</v>
      </c>
      <c r="B60" s="4" t="s">
        <v>86</v>
      </c>
      <c r="C60" s="2" t="s">
        <v>200</v>
      </c>
      <c r="D60" s="2" t="s">
        <v>80</v>
      </c>
      <c r="E60" s="34">
        <v>5</v>
      </c>
      <c r="F60" t="s">
        <v>177</v>
      </c>
    </row>
    <row r="61" spans="1:6" ht="15.6" customHeight="1">
      <c r="A61" t="s">
        <v>330</v>
      </c>
      <c r="B61" s="4" t="s">
        <v>331</v>
      </c>
      <c r="C61" s="2" t="s">
        <v>200</v>
      </c>
      <c r="D61" s="2" t="s">
        <v>80</v>
      </c>
      <c r="E61" s="34">
        <v>5</v>
      </c>
      <c r="F61" t="s">
        <v>177</v>
      </c>
    </row>
    <row r="62" spans="1:6" ht="15.6" customHeight="1">
      <c r="A62" s="43" t="s">
        <v>210</v>
      </c>
      <c r="B62" s="48" t="s">
        <v>209</v>
      </c>
      <c r="C62" s="44" t="s">
        <v>123</v>
      </c>
      <c r="D62" s="44" t="s">
        <v>122</v>
      </c>
      <c r="E62" s="47">
        <v>0</v>
      </c>
      <c r="F62" s="43"/>
    </row>
    <row r="63" spans="1:6" ht="15.6" customHeight="1">
      <c r="A63" t="s">
        <v>211</v>
      </c>
      <c r="B63" s="1" t="s">
        <v>124</v>
      </c>
      <c r="C63" t="s">
        <v>210</v>
      </c>
      <c r="D63" s="4" t="s">
        <v>209</v>
      </c>
      <c r="E63" s="34">
        <v>5</v>
      </c>
      <c r="F63" t="s">
        <v>181</v>
      </c>
    </row>
    <row r="64" spans="1:6" ht="15.6" customHeight="1">
      <c r="A64" t="s">
        <v>213</v>
      </c>
      <c r="B64" s="1" t="s">
        <v>212</v>
      </c>
      <c r="C64" s="2" t="s">
        <v>210</v>
      </c>
      <c r="D64" s="4" t="s">
        <v>209</v>
      </c>
      <c r="E64" s="34">
        <v>5</v>
      </c>
      <c r="F64" t="s">
        <v>181</v>
      </c>
    </row>
    <row r="65" spans="1:6" ht="15.6" customHeight="1">
      <c r="A65" t="s">
        <v>214</v>
      </c>
      <c r="B65" s="1" t="s">
        <v>215</v>
      </c>
      <c r="C65" t="s">
        <v>210</v>
      </c>
      <c r="D65" s="4" t="s">
        <v>209</v>
      </c>
      <c r="E65" s="34">
        <v>5</v>
      </c>
      <c r="F65" t="s">
        <v>178</v>
      </c>
    </row>
    <row r="66" spans="1:6" ht="15.6" customHeight="1">
      <c r="A66" t="s">
        <v>240</v>
      </c>
      <c r="B66" s="1" t="s">
        <v>241</v>
      </c>
      <c r="C66" t="s">
        <v>210</v>
      </c>
      <c r="D66" s="4" t="s">
        <v>209</v>
      </c>
      <c r="E66" s="34">
        <v>5</v>
      </c>
      <c r="F66" t="s">
        <v>179</v>
      </c>
    </row>
    <row r="67" spans="1:6" ht="15.6" customHeight="1">
      <c r="A67" s="43" t="s">
        <v>229</v>
      </c>
      <c r="B67" s="48" t="s">
        <v>230</v>
      </c>
      <c r="C67" s="44" t="s">
        <v>123</v>
      </c>
      <c r="D67" s="44" t="s">
        <v>122</v>
      </c>
      <c r="E67" s="47">
        <v>0</v>
      </c>
      <c r="F67" s="43"/>
    </row>
    <row r="68" spans="1:6" ht="15.6" customHeight="1">
      <c r="A68" t="s">
        <v>231</v>
      </c>
      <c r="B68" s="1" t="s">
        <v>232</v>
      </c>
      <c r="C68" t="s">
        <v>229</v>
      </c>
      <c r="D68" s="4" t="s">
        <v>230</v>
      </c>
      <c r="E68" s="34">
        <v>5</v>
      </c>
      <c r="F68" t="s">
        <v>181</v>
      </c>
    </row>
    <row r="69" spans="1:6" ht="15.6" customHeight="1">
      <c r="A69" t="s">
        <v>233</v>
      </c>
      <c r="B69" s="1" t="s">
        <v>238</v>
      </c>
      <c r="C69" t="s">
        <v>229</v>
      </c>
      <c r="D69" s="4" t="s">
        <v>230</v>
      </c>
      <c r="E69" s="34">
        <v>5</v>
      </c>
      <c r="F69" t="s">
        <v>181</v>
      </c>
    </row>
    <row r="70" spans="1:6" ht="15.6" customHeight="1">
      <c r="A70" t="s">
        <v>234</v>
      </c>
      <c r="B70" s="1" t="s">
        <v>235</v>
      </c>
      <c r="C70" t="s">
        <v>229</v>
      </c>
      <c r="D70" s="4" t="s">
        <v>230</v>
      </c>
      <c r="E70" s="34">
        <v>5</v>
      </c>
      <c r="F70" t="s">
        <v>181</v>
      </c>
    </row>
    <row r="71" spans="1:6" ht="15.6" customHeight="1">
      <c r="A71" t="s">
        <v>236</v>
      </c>
      <c r="B71" s="4" t="s">
        <v>90</v>
      </c>
      <c r="C71" t="s">
        <v>229</v>
      </c>
      <c r="D71" s="4" t="s">
        <v>230</v>
      </c>
      <c r="E71" s="34">
        <v>5</v>
      </c>
      <c r="F71" t="s">
        <v>181</v>
      </c>
    </row>
    <row r="72" spans="1:6" ht="15.6" customHeight="1">
      <c r="A72" t="s">
        <v>239</v>
      </c>
      <c r="B72" s="1" t="s">
        <v>237</v>
      </c>
      <c r="C72" t="s">
        <v>229</v>
      </c>
      <c r="D72" s="4" t="s">
        <v>230</v>
      </c>
      <c r="E72" s="34">
        <v>5</v>
      </c>
      <c r="F72" t="s">
        <v>180</v>
      </c>
    </row>
    <row r="73" spans="1:6" ht="15.6" customHeight="1">
      <c r="A73" s="36" t="s">
        <v>119</v>
      </c>
      <c r="B73" s="36" t="s">
        <v>120</v>
      </c>
      <c r="C73" s="39" t="s">
        <v>160</v>
      </c>
      <c r="D73" s="35" t="s">
        <v>160</v>
      </c>
      <c r="E73" s="38">
        <f>SUM(E74:E77)</f>
        <v>15</v>
      </c>
      <c r="F73" s="42"/>
    </row>
    <row r="74" spans="1:6" ht="15.6" customHeight="1">
      <c r="A74" s="43" t="s">
        <v>126</v>
      </c>
      <c r="B74" s="44" t="s">
        <v>125</v>
      </c>
      <c r="C74" s="44" t="s">
        <v>119</v>
      </c>
      <c r="D74" s="48" t="s">
        <v>120</v>
      </c>
      <c r="E74" s="47">
        <v>0</v>
      </c>
      <c r="F74" s="43"/>
    </row>
    <row r="75" spans="1:6" ht="15.6" customHeight="1">
      <c r="A75" t="s">
        <v>127</v>
      </c>
      <c r="B75" s="4" t="s">
        <v>129</v>
      </c>
      <c r="C75" s="2" t="s">
        <v>126</v>
      </c>
      <c r="D75" s="2" t="s">
        <v>125</v>
      </c>
      <c r="E75" s="34">
        <v>5</v>
      </c>
      <c r="F75" t="s">
        <v>171</v>
      </c>
    </row>
    <row r="76" spans="1:6" ht="15.6" customHeight="1">
      <c r="A76" t="s">
        <v>131</v>
      </c>
      <c r="B76" s="4" t="s">
        <v>128</v>
      </c>
      <c r="C76" s="2" t="s">
        <v>126</v>
      </c>
      <c r="D76" s="2" t="s">
        <v>125</v>
      </c>
      <c r="E76" s="34">
        <v>5</v>
      </c>
      <c r="F76" t="s">
        <v>171</v>
      </c>
    </row>
    <row r="77" spans="1:6" ht="15.6" customHeight="1">
      <c r="A77" t="s">
        <v>132</v>
      </c>
      <c r="B77" s="4" t="s">
        <v>130</v>
      </c>
      <c r="C77" s="2" t="s">
        <v>126</v>
      </c>
      <c r="D77" s="2" t="s">
        <v>125</v>
      </c>
      <c r="E77" s="34">
        <v>5</v>
      </c>
      <c r="F77" t="s">
        <v>171</v>
      </c>
    </row>
    <row r="78" spans="1:6">
      <c r="E78" s="2"/>
    </row>
  </sheetData>
  <sheetProtection algorithmName="SHA-512" hashValue="n41cKFPs8CeguwPen4aitQQITMzM9m/HBg/uuK3KDWAV6pT5BpfEOcy3dVvCKewt3TnBQek8q/MNnTectuVFaQ==" saltValue="DdgUH7RsYxbiywnQ5/2cCg==" spinCount="100000" sheet="1" objects="1" scenarios="1"/>
  <phoneticPr fontId="5"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8910B-BE03-4670-AC7E-334B8C22A773}">
  <sheetPr codeName="Sheet5"/>
  <dimension ref="A1:G313"/>
  <sheetViews>
    <sheetView topLeftCell="A283" workbookViewId="0">
      <selection activeCell="H9" sqref="H9"/>
    </sheetView>
  </sheetViews>
  <sheetFormatPr defaultRowHeight="15"/>
  <cols>
    <col min="1" max="1" width="34.140625" style="1" bestFit="1" customWidth="1"/>
    <col min="2" max="2" width="17" style="1" customWidth="1"/>
    <col min="3" max="3" width="88.7109375" style="31" customWidth="1"/>
    <col min="4" max="4" width="7.7109375" customWidth="1"/>
    <col min="5" max="5" width="38.7109375" bestFit="1" customWidth="1"/>
    <col min="6" max="6" width="17" customWidth="1"/>
    <col min="7" max="7" width="53.7109375" customWidth="1"/>
  </cols>
  <sheetData>
    <row r="1" spans="1:7">
      <c r="A1" s="6" t="s">
        <v>88</v>
      </c>
      <c r="B1" s="6" t="s">
        <v>89</v>
      </c>
      <c r="C1" s="30" t="s">
        <v>92</v>
      </c>
      <c r="D1" t="s">
        <v>228</v>
      </c>
      <c r="E1" t="s">
        <v>242</v>
      </c>
      <c r="F1" t="s">
        <v>244</v>
      </c>
      <c r="G1" t="s">
        <v>162</v>
      </c>
    </row>
    <row r="2" spans="1:7">
      <c r="A2" s="1" t="s">
        <v>265</v>
      </c>
      <c r="B2" s="1" t="s">
        <v>63</v>
      </c>
      <c r="C2" s="31" t="s">
        <v>45</v>
      </c>
      <c r="D2" s="49">
        <f>VLOOKUP(ToolFeatures[[#This Row],[FEATURE CODE]],FeatureTree[],5,FALSE)</f>
        <v>5</v>
      </c>
      <c r="E2" s="49" t="str">
        <f>VLOOKUP(ToolFeatures[[#This Row],[FEATURE CODE]],FeatureTree[],6,FALSE)</f>
        <v>Standardization and cleansing</v>
      </c>
      <c r="F2" s="49" t="str">
        <f>VLOOKUP(LEFT(ToolFeatures[[#This Row],[FEATURE CODE]],2),FeatureTree[],2,FALSE)</f>
        <v>Data Preparation and Cleaning</v>
      </c>
      <c r="G2" s="49" t="str">
        <f>VLOOKUP(LEFT(ToolFeatures[[#This Row],[FEATURE CODE]],5),FeatureTree[],2,FALSE)</f>
        <v>Parsing and Standardization</v>
      </c>
    </row>
    <row r="3" spans="1:7">
      <c r="A3" s="1" t="s">
        <v>265</v>
      </c>
      <c r="B3" s="1" t="s">
        <v>337</v>
      </c>
      <c r="C3" s="31" t="s">
        <v>339</v>
      </c>
      <c r="D3" s="49">
        <f>VLOOKUP(ToolFeatures[[#This Row],[FEATURE CODE]],FeatureTree[],5,FALSE)</f>
        <v>5</v>
      </c>
      <c r="E3" s="49" t="str">
        <f>VLOOKUP(ToolFeatures[[#This Row],[FEATURE CODE]],FeatureTree[],6,FALSE)</f>
        <v>Master Reference Data Management</v>
      </c>
      <c r="F3" s="49" t="str">
        <f>VLOOKUP(LEFT(ToolFeatures[[#This Row],[FEATURE CODE]],2),FeatureTree[],2,FALSE)</f>
        <v>Data Preparation and Cleaning</v>
      </c>
      <c r="G3" s="49" t="str">
        <f>VLOOKUP(LEFT(ToolFeatures[[#This Row],[FEATURE CODE]],5),FeatureTree[],2,FALSE)</f>
        <v>Master Reference Data Management</v>
      </c>
    </row>
    <row r="4" spans="1:7">
      <c r="A4" s="1" t="s">
        <v>265</v>
      </c>
      <c r="B4" s="1" t="s">
        <v>338</v>
      </c>
      <c r="C4" s="31" t="s">
        <v>340</v>
      </c>
      <c r="D4" s="49">
        <f>VLOOKUP(ToolFeatures[[#This Row],[FEATURE CODE]],FeatureTree[],5,FALSE)</f>
        <v>5</v>
      </c>
      <c r="E4" s="49" t="str">
        <f>VLOOKUP(ToolFeatures[[#This Row],[FEATURE CODE]],FeatureTree[],6,FALSE)</f>
        <v>Master Reference Data Management</v>
      </c>
      <c r="F4" s="49" t="str">
        <f>VLOOKUP(LEFT(ToolFeatures[[#This Row],[FEATURE CODE]],2),FeatureTree[],2,FALSE)</f>
        <v>Data Preparation and Cleaning</v>
      </c>
      <c r="G4" s="49" t="str">
        <f>VLOOKUP(LEFT(ToolFeatures[[#This Row],[FEATURE CODE]],5),FeatureTree[],2,FALSE)</f>
        <v>Master Reference Data Management</v>
      </c>
    </row>
    <row r="5" spans="1:7">
      <c r="A5" s="1" t="s">
        <v>265</v>
      </c>
      <c r="B5" s="1" t="s">
        <v>341</v>
      </c>
      <c r="C5" s="31" t="s">
        <v>342</v>
      </c>
      <c r="D5" s="49">
        <f>VLOOKUP(ToolFeatures[[#This Row],[FEATURE CODE]],FeatureTree[],5,FALSE)</f>
        <v>5</v>
      </c>
      <c r="E5" s="49" t="str">
        <f>VLOOKUP(ToolFeatures[[#This Row],[FEATURE CODE]],FeatureTree[],6,FALSE)</f>
        <v>Master Reference Data Management</v>
      </c>
      <c r="F5" s="49" t="str">
        <f>VLOOKUP(LEFT(ToolFeatures[[#This Row],[FEATURE CODE]],2),FeatureTree[],2,FALSE)</f>
        <v>Data Preparation and Cleaning</v>
      </c>
      <c r="G5" s="49" t="str">
        <f>VLOOKUP(LEFT(ToolFeatures[[#This Row],[FEATURE CODE]],5),FeatureTree[],2,FALSE)</f>
        <v>Master Reference Data Management</v>
      </c>
    </row>
    <row r="6" spans="1:7">
      <c r="A6" s="1" t="s">
        <v>265</v>
      </c>
      <c r="B6" s="1" t="s">
        <v>343</v>
      </c>
      <c r="C6" s="31" t="s">
        <v>345</v>
      </c>
      <c r="D6" s="49">
        <f>VLOOKUP(ToolFeatures[[#This Row],[FEATURE CODE]],FeatureTree[],5,FALSE)</f>
        <v>5</v>
      </c>
      <c r="E6" s="49" t="str">
        <f>VLOOKUP(ToolFeatures[[#This Row],[FEATURE CODE]],FeatureTree[],6,FALSE)</f>
        <v>Master Reference Data Management</v>
      </c>
      <c r="F6" s="49" t="str">
        <f>VLOOKUP(LEFT(ToolFeatures[[#This Row],[FEATURE CODE]],2),FeatureTree[],2,FALSE)</f>
        <v>Data Preparation and Cleaning</v>
      </c>
      <c r="G6" s="49" t="str">
        <f>VLOOKUP(LEFT(ToolFeatures[[#This Row],[FEATURE CODE]],5),FeatureTree[],2,FALSE)</f>
        <v>Master Reference Data Management</v>
      </c>
    </row>
    <row r="7" spans="1:7">
      <c r="A7" s="1" t="s">
        <v>265</v>
      </c>
      <c r="B7" s="1" t="s">
        <v>344</v>
      </c>
      <c r="C7" s="31" t="s">
        <v>347</v>
      </c>
      <c r="D7" s="49">
        <f>VLOOKUP(ToolFeatures[[#This Row],[FEATURE CODE]],FeatureTree[],5,FALSE)</f>
        <v>5</v>
      </c>
      <c r="E7" s="49" t="str">
        <f>VLOOKUP(ToolFeatures[[#This Row],[FEATURE CODE]],FeatureTree[],6,FALSE)</f>
        <v>Master Reference Data Management</v>
      </c>
      <c r="F7" s="49" t="str">
        <f>VLOOKUP(LEFT(ToolFeatures[[#This Row],[FEATURE CODE]],2),FeatureTree[],2,FALSE)</f>
        <v>Data Preparation and Cleaning</v>
      </c>
      <c r="G7" s="49" t="str">
        <f>VLOOKUP(LEFT(ToolFeatures[[#This Row],[FEATURE CODE]],5),FeatureTree[],2,FALSE)</f>
        <v>Master Reference Data Management</v>
      </c>
    </row>
    <row r="8" spans="1:7">
      <c r="A8" s="1" t="s">
        <v>169</v>
      </c>
      <c r="B8" s="1" t="s">
        <v>17</v>
      </c>
      <c r="C8" s="31" t="s">
        <v>16</v>
      </c>
      <c r="D8" s="49">
        <f>VLOOKUP(ToolFeatures[[#This Row],[FEATURE CODE]],FeatureTree[],5,FALSE)</f>
        <v>5</v>
      </c>
      <c r="E8" s="49" t="str">
        <f>VLOOKUP(ToolFeatures[[#This Row],[FEATURE CODE]],FeatureTree[],6,FALSE)</f>
        <v>Data profiling, measurement and visualization</v>
      </c>
      <c r="F8" s="49" t="str">
        <f>VLOOKUP(LEFT(ToolFeatures[[#This Row],[FEATURE CODE]],2),FeatureTree[],2,FALSE)</f>
        <v>Data Profiling, Exploration/Pattern Detection</v>
      </c>
      <c r="G8" s="49" t="str">
        <f>VLOOKUP(LEFT(ToolFeatures[[#This Row],[FEATURE CODE]],5),FeatureTree[],2,FALSE)</f>
        <v>Relationship discovery</v>
      </c>
    </row>
    <row r="9" spans="1:7">
      <c r="A9" s="1" t="s">
        <v>169</v>
      </c>
      <c r="B9" s="1" t="s">
        <v>18</v>
      </c>
      <c r="C9" s="31" t="s">
        <v>164</v>
      </c>
      <c r="D9" s="49">
        <f>VLOOKUP(ToolFeatures[[#This Row],[FEATURE CODE]],FeatureTree[],5,FALSE)</f>
        <v>5</v>
      </c>
      <c r="E9" s="49" t="str">
        <f>VLOOKUP(ToolFeatures[[#This Row],[FEATURE CODE]],FeatureTree[],6,FALSE)</f>
        <v>Data profiling, measurement and visualization</v>
      </c>
      <c r="F9" s="49" t="str">
        <f>VLOOKUP(LEFT(ToolFeatures[[#This Row],[FEATURE CODE]],2),FeatureTree[],2,FALSE)</f>
        <v>Data Profiling, Exploration/Pattern Detection</v>
      </c>
      <c r="G9" s="49" t="str">
        <f>VLOOKUP(LEFT(ToolFeatures[[#This Row],[FEATURE CODE]],5),FeatureTree[],2,FALSE)</f>
        <v>Relationship discovery</v>
      </c>
    </row>
    <row r="10" spans="1:7" ht="30">
      <c r="A10" s="1" t="s">
        <v>169</v>
      </c>
      <c r="B10" s="1" t="s">
        <v>19</v>
      </c>
      <c r="C10" s="31" t="s">
        <v>20</v>
      </c>
      <c r="D10" s="49">
        <f>VLOOKUP(ToolFeatures[[#This Row],[FEATURE CODE]],FeatureTree[],5,FALSE)</f>
        <v>5</v>
      </c>
      <c r="E10" s="49" t="str">
        <f>VLOOKUP(ToolFeatures[[#This Row],[FEATURE CODE]],FeatureTree[],6,FALSE)</f>
        <v>Data profiling, measurement and visualization</v>
      </c>
      <c r="F10" s="49" t="str">
        <f>VLOOKUP(LEFT(ToolFeatures[[#This Row],[FEATURE CODE]],2),FeatureTree[],2,FALSE)</f>
        <v>Data Profiling, Exploration/Pattern Detection</v>
      </c>
      <c r="G10" s="49" t="str">
        <f>VLOOKUP(LEFT(ToolFeatures[[#This Row],[FEATURE CODE]],5),FeatureTree[],2,FALSE)</f>
        <v>Relationship discovery</v>
      </c>
    </row>
    <row r="11" spans="1:7">
      <c r="A11" s="1" t="s">
        <v>169</v>
      </c>
      <c r="B11" s="1" t="s">
        <v>21</v>
      </c>
      <c r="C11" s="31" t="s">
        <v>24</v>
      </c>
      <c r="D11" s="49">
        <f>VLOOKUP(ToolFeatures[[#This Row],[FEATURE CODE]],FeatureTree[],5,FALSE)</f>
        <v>5</v>
      </c>
      <c r="E11" s="49" t="str">
        <f>VLOOKUP(ToolFeatures[[#This Row],[FEATURE CODE]],FeatureTree[],6,FALSE)</f>
        <v>Data profiling, measurement and visualization</v>
      </c>
      <c r="F11" s="49" t="str">
        <f>VLOOKUP(LEFT(ToolFeatures[[#This Row],[FEATURE CODE]],2),FeatureTree[],2,FALSE)</f>
        <v>Data Profiling, Exploration/Pattern Detection</v>
      </c>
      <c r="G11" s="49" t="str">
        <f>VLOOKUP(LEFT(ToolFeatures[[#This Row],[FEATURE CODE]],5),FeatureTree[],2,FALSE)</f>
        <v>Content discovery</v>
      </c>
    </row>
    <row r="12" spans="1:7" ht="19.899999999999999" customHeight="1">
      <c r="A12" s="1" t="s">
        <v>169</v>
      </c>
      <c r="B12" s="1" t="s">
        <v>22</v>
      </c>
      <c r="C12" s="31" t="s">
        <v>25</v>
      </c>
      <c r="D12" s="49">
        <f>VLOOKUP(ToolFeatures[[#This Row],[FEATURE CODE]],FeatureTree[],5,FALSE)</f>
        <v>5</v>
      </c>
      <c r="E12" s="49" t="str">
        <f>VLOOKUP(ToolFeatures[[#This Row],[FEATURE CODE]],FeatureTree[],6,FALSE)</f>
        <v>Data profiling, measurement and visualization</v>
      </c>
      <c r="F12" s="49" t="str">
        <f>VLOOKUP(LEFT(ToolFeatures[[#This Row],[FEATURE CODE]],2),FeatureTree[],2,FALSE)</f>
        <v>Data Profiling, Exploration/Pattern Detection</v>
      </c>
      <c r="G12" s="49" t="str">
        <f>VLOOKUP(LEFT(ToolFeatures[[#This Row],[FEATURE CODE]],5),FeatureTree[],2,FALSE)</f>
        <v>Content discovery</v>
      </c>
    </row>
    <row r="13" spans="1:7">
      <c r="A13" s="1" t="s">
        <v>169</v>
      </c>
      <c r="B13" s="1" t="s">
        <v>23</v>
      </c>
      <c r="C13" s="31" t="s">
        <v>26</v>
      </c>
      <c r="D13" s="49">
        <f>VLOOKUP(ToolFeatures[[#This Row],[FEATURE CODE]],FeatureTree[],5,FALSE)</f>
        <v>5</v>
      </c>
      <c r="E13" s="49" t="str">
        <f>VLOOKUP(ToolFeatures[[#This Row],[FEATURE CODE]],FeatureTree[],6,FALSE)</f>
        <v>Data profiling, measurement and visualization</v>
      </c>
      <c r="F13" s="49" t="str">
        <f>VLOOKUP(LEFT(ToolFeatures[[#This Row],[FEATURE CODE]],2),FeatureTree[],2,FALSE)</f>
        <v>Data Profiling, Exploration/Pattern Detection</v>
      </c>
      <c r="G13" s="49" t="str">
        <f>VLOOKUP(LEFT(ToolFeatures[[#This Row],[FEATURE CODE]],5),FeatureTree[],2,FALSE)</f>
        <v>Content discovery</v>
      </c>
    </row>
    <row r="14" spans="1:7" ht="30">
      <c r="A14" s="1" t="s">
        <v>169</v>
      </c>
      <c r="B14" s="1" t="s">
        <v>27</v>
      </c>
      <c r="C14" s="31" t="s">
        <v>30</v>
      </c>
      <c r="D14" s="49">
        <f>VLOOKUP(ToolFeatures[[#This Row],[FEATURE CODE]],FeatureTree[],5,FALSE)</f>
        <v>5</v>
      </c>
      <c r="E14" s="49" t="str">
        <f>VLOOKUP(ToolFeatures[[#This Row],[FEATURE CODE]],FeatureTree[],6,FALSE)</f>
        <v>Data profiling, measurement and visualization</v>
      </c>
      <c r="F14" s="49" t="str">
        <f>VLOOKUP(LEFT(ToolFeatures[[#This Row],[FEATURE CODE]],2),FeatureTree[],2,FALSE)</f>
        <v>Data Profiling, Exploration/Pattern Detection</v>
      </c>
      <c r="G14" s="49" t="str">
        <f>VLOOKUP(LEFT(ToolFeatures[[#This Row],[FEATURE CODE]],5),FeatureTree[],2,FALSE)</f>
        <v>Structure discovery</v>
      </c>
    </row>
    <row r="15" spans="1:7">
      <c r="A15" s="1" t="s">
        <v>169</v>
      </c>
      <c r="B15" s="1" t="s">
        <v>28</v>
      </c>
      <c r="C15" s="31" t="s">
        <v>31</v>
      </c>
      <c r="D15" s="49">
        <f>VLOOKUP(ToolFeatures[[#This Row],[FEATURE CODE]],FeatureTree[],5,FALSE)</f>
        <v>5</v>
      </c>
      <c r="E15" s="49" t="str">
        <f>VLOOKUP(ToolFeatures[[#This Row],[FEATURE CODE]],FeatureTree[],6,FALSE)</f>
        <v>Data profiling, measurement and visualization</v>
      </c>
      <c r="F15" s="49" t="str">
        <f>VLOOKUP(LEFT(ToolFeatures[[#This Row],[FEATURE CODE]],2),FeatureTree[],2,FALSE)</f>
        <v>Data Profiling, Exploration/Pattern Detection</v>
      </c>
      <c r="G15" s="49" t="str">
        <f>VLOOKUP(LEFT(ToolFeatures[[#This Row],[FEATURE CODE]],5),FeatureTree[],2,FALSE)</f>
        <v>Structure discovery</v>
      </c>
    </row>
    <row r="16" spans="1:7">
      <c r="A16" s="1" t="s">
        <v>169</v>
      </c>
      <c r="B16" s="1" t="s">
        <v>29</v>
      </c>
      <c r="C16" s="31" t="s">
        <v>32</v>
      </c>
      <c r="D16" s="49">
        <f>VLOOKUP(ToolFeatures[[#This Row],[FEATURE CODE]],FeatureTree[],5,FALSE)</f>
        <v>5</v>
      </c>
      <c r="E16" s="49" t="str">
        <f>VLOOKUP(ToolFeatures[[#This Row],[FEATURE CODE]],FeatureTree[],6,FALSE)</f>
        <v>Data profiling, measurement and visualization</v>
      </c>
      <c r="F16" s="49" t="str">
        <f>VLOOKUP(LEFT(ToolFeatures[[#This Row],[FEATURE CODE]],2),FeatureTree[],2,FALSE)</f>
        <v>Data Profiling, Exploration/Pattern Detection</v>
      </c>
      <c r="G16" s="49" t="str">
        <f>VLOOKUP(LEFT(ToolFeatures[[#This Row],[FEATURE CODE]],5),FeatureTree[],2,FALSE)</f>
        <v>Structure discovery</v>
      </c>
    </row>
    <row r="17" spans="1:7">
      <c r="A17" s="1" t="s">
        <v>169</v>
      </c>
      <c r="B17" s="1" t="s">
        <v>102</v>
      </c>
      <c r="C17" s="31" t="s">
        <v>99</v>
      </c>
      <c r="D17" s="49">
        <f>VLOOKUP(ToolFeatures[[#This Row],[FEATURE CODE]],FeatureTree[],5,FALSE)</f>
        <v>5</v>
      </c>
      <c r="E17" s="49" t="str">
        <f>VLOOKUP(ToolFeatures[[#This Row],[FEATURE CODE]],FeatureTree[],6,FALSE)</f>
        <v>Connectivity</v>
      </c>
      <c r="F17" s="49" t="str">
        <f>VLOOKUP(LEFT(ToolFeatures[[#This Row],[FEATURE CODE]],2),FeatureTree[],2,FALSE)</f>
        <v>Data Ingestion and Integration</v>
      </c>
      <c r="G17" s="49" t="str">
        <f>VLOOKUP(LEFT(ToolFeatures[[#This Row],[FEATURE CODE]],5),FeatureTree[],2,FALSE)</f>
        <v>Data Consolidation</v>
      </c>
    </row>
    <row r="18" spans="1:7">
      <c r="A18" s="1" t="s">
        <v>169</v>
      </c>
      <c r="B18" s="1" t="s">
        <v>33</v>
      </c>
      <c r="C18" s="31" t="s">
        <v>223</v>
      </c>
      <c r="D18" s="49">
        <f>VLOOKUP(ToolFeatures[[#This Row],[FEATURE CODE]],FeatureTree[],5,FALSE)</f>
        <v>5</v>
      </c>
      <c r="E18" s="49" t="str">
        <f>VLOOKUP(ToolFeatures[[#This Row],[FEATURE CODE]],FeatureTree[],6,FALSE)</f>
        <v>Parsing</v>
      </c>
      <c r="F18" s="49" t="str">
        <f>VLOOKUP(LEFT(ToolFeatures[[#This Row],[FEATURE CODE]],2),FeatureTree[],2,FALSE)</f>
        <v>Data Ingestion and Integration</v>
      </c>
      <c r="G18" s="49" t="str">
        <f>VLOOKUP(LEFT(ToolFeatures[[#This Row],[FEATURE CODE]],5),FeatureTree[],2,FALSE)</f>
        <v>Data Consolidation</v>
      </c>
    </row>
    <row r="19" spans="1:7">
      <c r="A19" s="1" t="s">
        <v>169</v>
      </c>
      <c r="B19" s="1" t="s">
        <v>34</v>
      </c>
      <c r="C19" s="31" t="s">
        <v>36</v>
      </c>
      <c r="D19" s="49">
        <f>VLOOKUP(ToolFeatures[[#This Row],[FEATURE CODE]],FeatureTree[],5,FALSE)</f>
        <v>5</v>
      </c>
      <c r="E19" s="49" t="str">
        <f>VLOOKUP(ToolFeatures[[#This Row],[FEATURE CODE]],FeatureTree[],6,FALSE)</f>
        <v>Architecture and integration</v>
      </c>
      <c r="F19" s="49" t="str">
        <f>VLOOKUP(LEFT(ToolFeatures[[#This Row],[FEATURE CODE]],2),FeatureTree[],2,FALSE)</f>
        <v>Data Ingestion and Integration</v>
      </c>
      <c r="G19" s="49" t="str">
        <f>VLOOKUP(LEFT(ToolFeatures[[#This Row],[FEATURE CODE]],5),FeatureTree[],2,FALSE)</f>
        <v>Data Consolidation</v>
      </c>
    </row>
    <row r="20" spans="1:7" ht="30">
      <c r="A20" s="1" t="s">
        <v>169</v>
      </c>
      <c r="B20" s="1" t="s">
        <v>47</v>
      </c>
      <c r="C20" s="31" t="s">
        <v>94</v>
      </c>
      <c r="D20" s="49">
        <f>VLOOKUP(ToolFeatures[[#This Row],[FEATURE CODE]],FeatureTree[],5,FALSE)</f>
        <v>5</v>
      </c>
      <c r="E20" s="49" t="str">
        <f>VLOOKUP(ToolFeatures[[#This Row],[FEATURE CODE]],FeatureTree[],6,FALSE)</f>
        <v>Issue resolution and workflow</v>
      </c>
      <c r="F20" s="49" t="str">
        <f>VLOOKUP(LEFT(ToolFeatures[[#This Row],[FEATURE CODE]],2),FeatureTree[],2,FALSE)</f>
        <v>Data Ingestion and Integration</v>
      </c>
      <c r="G20" s="49" t="str">
        <f>VLOOKUP(LEFT(ToolFeatures[[#This Row],[FEATURE CODE]],5),FeatureTree[],2,FALSE)</f>
        <v>Data Propagation</v>
      </c>
    </row>
    <row r="21" spans="1:7">
      <c r="A21" s="1" t="s">
        <v>169</v>
      </c>
      <c r="B21" s="1" t="s">
        <v>48</v>
      </c>
      <c r="C21" s="31" t="s">
        <v>37</v>
      </c>
      <c r="D21" s="49">
        <f>VLOOKUP(ToolFeatures[[#This Row],[FEATURE CODE]],FeatureTree[],5,FALSE)</f>
        <v>5</v>
      </c>
      <c r="E21" s="49" t="str">
        <f>VLOOKUP(ToolFeatures[[#This Row],[FEATURE CODE]],FeatureTree[],6,FALSE)</f>
        <v>Architecture and integration</v>
      </c>
      <c r="F21" s="49" t="str">
        <f>VLOOKUP(LEFT(ToolFeatures[[#This Row],[FEATURE CODE]],2),FeatureTree[],2,FALSE)</f>
        <v>Data Ingestion and Integration</v>
      </c>
      <c r="G21" s="49" t="str">
        <f>VLOOKUP(LEFT(ToolFeatures[[#This Row],[FEATURE CODE]],5),FeatureTree[],2,FALSE)</f>
        <v>Data Propagation</v>
      </c>
    </row>
    <row r="22" spans="1:7">
      <c r="A22" s="1" t="s">
        <v>169</v>
      </c>
      <c r="B22" s="1" t="s">
        <v>56</v>
      </c>
      <c r="C22" s="31" t="s">
        <v>39</v>
      </c>
      <c r="D22" s="49">
        <f>VLOOKUP(ToolFeatures[[#This Row],[FEATURE CODE]],FeatureTree[],5,FALSE)</f>
        <v>5</v>
      </c>
      <c r="E22" s="49" t="str">
        <f>VLOOKUP(ToolFeatures[[#This Row],[FEATURE CODE]],FeatureTree[],6,FALSE)</f>
        <v>Issue resolution and workflow</v>
      </c>
      <c r="F22" s="49" t="str">
        <f>VLOOKUP(LEFT(ToolFeatures[[#This Row],[FEATURE CODE]],2),FeatureTree[],2,FALSE)</f>
        <v>Data Ingestion and Integration</v>
      </c>
      <c r="G22" s="49" t="str">
        <f>VLOOKUP(LEFT(ToolFeatures[[#This Row],[FEATURE CODE]],5),FeatureTree[],2,FALSE)</f>
        <v>Data Federation</v>
      </c>
    </row>
    <row r="23" spans="1:7">
      <c r="A23" s="1" t="s">
        <v>169</v>
      </c>
      <c r="B23" s="1" t="s">
        <v>58</v>
      </c>
      <c r="C23" s="31" t="s">
        <v>40</v>
      </c>
      <c r="D23" s="49">
        <f>VLOOKUP(ToolFeatures[[#This Row],[FEATURE CODE]],FeatureTree[],5,FALSE)</f>
        <v>5</v>
      </c>
      <c r="E23" s="49" t="str">
        <f>VLOOKUP(ToolFeatures[[#This Row],[FEATURE CODE]],FeatureTree[],6,FALSE)</f>
        <v>Standardization and cleansing</v>
      </c>
      <c r="F23" s="49" t="str">
        <f>VLOOKUP(LEFT(ToolFeatures[[#This Row],[FEATURE CODE]],2),FeatureTree[],2,FALSE)</f>
        <v>Data Preparation and Cleaning</v>
      </c>
      <c r="G23" s="49" t="str">
        <f>VLOOKUP(LEFT(ToolFeatures[[#This Row],[FEATURE CODE]],5),FeatureTree[],2,FALSE)</f>
        <v>Parsing and Standardization</v>
      </c>
    </row>
    <row r="24" spans="1:7">
      <c r="A24" s="1" t="s">
        <v>169</v>
      </c>
      <c r="B24" s="1" t="s">
        <v>59</v>
      </c>
      <c r="C24" s="31" t="s">
        <v>41</v>
      </c>
      <c r="D24" s="49">
        <f>VLOOKUP(ToolFeatures[[#This Row],[FEATURE CODE]],FeatureTree[],5,FALSE)</f>
        <v>5</v>
      </c>
      <c r="E24" s="49" t="str">
        <f>VLOOKUP(ToolFeatures[[#This Row],[FEATURE CODE]],FeatureTree[],6,FALSE)</f>
        <v>Standardization and cleansing</v>
      </c>
      <c r="F24" s="49" t="str">
        <f>VLOOKUP(LEFT(ToolFeatures[[#This Row],[FEATURE CODE]],2),FeatureTree[],2,FALSE)</f>
        <v>Data Preparation and Cleaning</v>
      </c>
      <c r="G24" s="49" t="str">
        <f>VLOOKUP(LEFT(ToolFeatures[[#This Row],[FEATURE CODE]],5),FeatureTree[],2,FALSE)</f>
        <v>Parsing and Standardization</v>
      </c>
    </row>
    <row r="25" spans="1:7">
      <c r="A25" s="1" t="s">
        <v>169</v>
      </c>
      <c r="B25" s="1" t="s">
        <v>60</v>
      </c>
      <c r="C25" s="31" t="s">
        <v>42</v>
      </c>
      <c r="D25" s="49">
        <f>VLOOKUP(ToolFeatures[[#This Row],[FEATURE CODE]],FeatureTree[],5,FALSE)</f>
        <v>5</v>
      </c>
      <c r="E25" s="49" t="str">
        <f>VLOOKUP(ToolFeatures[[#This Row],[FEATURE CODE]],FeatureTree[],6,FALSE)</f>
        <v>Data curation and enrichment</v>
      </c>
      <c r="F25" s="49" t="str">
        <f>VLOOKUP(LEFT(ToolFeatures[[#This Row],[FEATURE CODE]],2),FeatureTree[],2,FALSE)</f>
        <v>Data Preparation and Cleaning</v>
      </c>
      <c r="G25" s="49" t="str">
        <f>VLOOKUP(LEFT(ToolFeatures[[#This Row],[FEATURE CODE]],5),FeatureTree[],2,FALSE)</f>
        <v>Parsing and Standardization</v>
      </c>
    </row>
    <row r="26" spans="1:7">
      <c r="A26" s="1" t="s">
        <v>169</v>
      </c>
      <c r="B26" s="1" t="s">
        <v>61</v>
      </c>
      <c r="C26" s="31" t="s">
        <v>43</v>
      </c>
      <c r="D26" s="49">
        <f>VLOOKUP(ToolFeatures[[#This Row],[FEATURE CODE]],FeatureTree[],5,FALSE)</f>
        <v>5</v>
      </c>
      <c r="E26" s="49" t="str">
        <f>VLOOKUP(ToolFeatures[[#This Row],[FEATURE CODE]],FeatureTree[],6,FALSE)</f>
        <v>Standardization and cleansing</v>
      </c>
      <c r="F26" s="49" t="str">
        <f>VLOOKUP(LEFT(ToolFeatures[[#This Row],[FEATURE CODE]],2),FeatureTree[],2,FALSE)</f>
        <v>Data Preparation and Cleaning</v>
      </c>
      <c r="G26" s="49" t="str">
        <f>VLOOKUP(LEFT(ToolFeatures[[#This Row],[FEATURE CODE]],5),FeatureTree[],2,FALSE)</f>
        <v>Parsing and Standardization</v>
      </c>
    </row>
    <row r="27" spans="1:7">
      <c r="A27" s="1" t="s">
        <v>169</v>
      </c>
      <c r="B27" s="1" t="s">
        <v>62</v>
      </c>
      <c r="C27" s="31" t="s">
        <v>44</v>
      </c>
      <c r="D27" s="49">
        <f>VLOOKUP(ToolFeatures[[#This Row],[FEATURE CODE]],FeatureTree[],5,FALSE)</f>
        <v>5</v>
      </c>
      <c r="E27" s="49" t="str">
        <f>VLOOKUP(ToolFeatures[[#This Row],[FEATURE CODE]],FeatureTree[],6,FALSE)</f>
        <v>Address validation / geocoding</v>
      </c>
      <c r="F27" s="49" t="str">
        <f>VLOOKUP(LEFT(ToolFeatures[[#This Row],[FEATURE CODE]],2),FeatureTree[],2,FALSE)</f>
        <v>Data Preparation and Cleaning</v>
      </c>
      <c r="G27" s="49" t="str">
        <f>VLOOKUP(LEFT(ToolFeatures[[#This Row],[FEATURE CODE]],5),FeatureTree[],2,FALSE)</f>
        <v>Parsing and Standardization</v>
      </c>
    </row>
    <row r="28" spans="1:7">
      <c r="A28" s="1" t="s">
        <v>169</v>
      </c>
      <c r="B28" s="1" t="s">
        <v>63</v>
      </c>
      <c r="C28" s="31" t="s">
        <v>45</v>
      </c>
      <c r="D28" s="49">
        <f>VLOOKUP(ToolFeatures[[#This Row],[FEATURE CODE]],FeatureTree[],5,FALSE)</f>
        <v>5</v>
      </c>
      <c r="E28" s="49" t="str">
        <f>VLOOKUP(ToolFeatures[[#This Row],[FEATURE CODE]],FeatureTree[],6,FALSE)</f>
        <v>Standardization and cleansing</v>
      </c>
      <c r="F28" s="49" t="str">
        <f>VLOOKUP(LEFT(ToolFeatures[[#This Row],[FEATURE CODE]],2),FeatureTree[],2,FALSE)</f>
        <v>Data Preparation and Cleaning</v>
      </c>
      <c r="G28" s="49" t="str">
        <f>VLOOKUP(LEFT(ToolFeatures[[#This Row],[FEATURE CODE]],5),FeatureTree[],2,FALSE)</f>
        <v>Parsing and Standardization</v>
      </c>
    </row>
    <row r="29" spans="1:7">
      <c r="A29" s="1" t="s">
        <v>169</v>
      </c>
      <c r="B29" s="1" t="s">
        <v>79</v>
      </c>
      <c r="C29" s="31" t="s">
        <v>70</v>
      </c>
      <c r="D29" s="49">
        <f>VLOOKUP(ToolFeatures[[#This Row],[FEATURE CODE]],FeatureTree[],5,FALSE)</f>
        <v>5</v>
      </c>
      <c r="E29" s="49" t="str">
        <f>VLOOKUP(ToolFeatures[[#This Row],[FEATURE CODE]],FeatureTree[],6,FALSE)</f>
        <v>Data curation and enrichment</v>
      </c>
      <c r="F29" s="49" t="str">
        <f>VLOOKUP(LEFT(ToolFeatures[[#This Row],[FEATURE CODE]],2),FeatureTree[],2,FALSE)</f>
        <v>Data Preparation and Cleaning</v>
      </c>
      <c r="G29" s="49" t="str">
        <f>VLOOKUP(LEFT(ToolFeatures[[#This Row],[FEATURE CODE]],5),FeatureTree[],2,FALSE)</f>
        <v>Parsing and Standardization</v>
      </c>
    </row>
    <row r="30" spans="1:7">
      <c r="A30" s="1" t="s">
        <v>169</v>
      </c>
      <c r="B30" s="1" t="s">
        <v>67</v>
      </c>
      <c r="C30" s="31" t="s">
        <v>46</v>
      </c>
      <c r="D30" s="49">
        <f>VLOOKUP(ToolFeatures[[#This Row],[FEATURE CODE]],FeatureTree[],5,FALSE)</f>
        <v>5</v>
      </c>
      <c r="E30" s="49" t="str">
        <f>VLOOKUP(ToolFeatures[[#This Row],[FEATURE CODE]],FeatureTree[],6,FALSE)</f>
        <v>Matching, linking and merging</v>
      </c>
      <c r="F30" s="49" t="str">
        <f>VLOOKUP(LEFT(ToolFeatures[[#This Row],[FEATURE CODE]],2),FeatureTree[],2,FALSE)</f>
        <v>Data Preparation and Cleaning</v>
      </c>
      <c r="G30" s="49" t="str">
        <f>VLOOKUP(LEFT(ToolFeatures[[#This Row],[FEATURE CODE]],5),FeatureTree[],2,FALSE)</f>
        <v>Identity Resolution, Linkage, Merging &amp; Consolidation</v>
      </c>
    </row>
    <row r="31" spans="1:7">
      <c r="A31" s="1" t="s">
        <v>169</v>
      </c>
      <c r="B31" s="1" t="s">
        <v>68</v>
      </c>
      <c r="C31" s="31" t="s">
        <v>78</v>
      </c>
      <c r="D31" s="49">
        <f>VLOOKUP(ToolFeatures[[#This Row],[FEATURE CODE]],FeatureTree[],5,FALSE)</f>
        <v>5</v>
      </c>
      <c r="E31" s="49" t="str">
        <f>VLOOKUP(ToolFeatures[[#This Row],[FEATURE CODE]],FeatureTree[],6,FALSE)</f>
        <v>Data curation and enrichment</v>
      </c>
      <c r="F31" s="49" t="str">
        <f>VLOOKUP(LEFT(ToolFeatures[[#This Row],[FEATURE CODE]],2),FeatureTree[],2,FALSE)</f>
        <v>Data Preparation and Cleaning</v>
      </c>
      <c r="G31" s="49" t="str">
        <f>VLOOKUP(LEFT(ToolFeatures[[#This Row],[FEATURE CODE]],5),FeatureTree[],2,FALSE)</f>
        <v>Identity Resolution, Linkage, Merging &amp; Consolidation</v>
      </c>
    </row>
    <row r="32" spans="1:7">
      <c r="A32" s="1" t="s">
        <v>169</v>
      </c>
      <c r="B32" s="1" t="s">
        <v>71</v>
      </c>
      <c r="C32" s="31" t="s">
        <v>69</v>
      </c>
      <c r="D32" s="49">
        <f>VLOOKUP(ToolFeatures[[#This Row],[FEATURE CODE]],FeatureTree[],5,FALSE)</f>
        <v>5</v>
      </c>
      <c r="E32" s="49" t="str">
        <f>VLOOKUP(ToolFeatures[[#This Row],[FEATURE CODE]],FeatureTree[],6,FALSE)</f>
        <v>Matching, linking and merging</v>
      </c>
      <c r="F32" s="49" t="str">
        <f>VLOOKUP(LEFT(ToolFeatures[[#This Row],[FEATURE CODE]],2),FeatureTree[],2,FALSE)</f>
        <v>Data Preparation and Cleaning</v>
      </c>
      <c r="G32" s="49" t="str">
        <f>VLOOKUP(LEFT(ToolFeatures[[#This Row],[FEATURE CODE]],5),FeatureTree[],2,FALSE)</f>
        <v>Identity Resolution, Linkage, Merging &amp; Consolidation</v>
      </c>
    </row>
    <row r="33" spans="1:7">
      <c r="A33" s="1" t="s">
        <v>169</v>
      </c>
      <c r="B33" s="1" t="s">
        <v>72</v>
      </c>
      <c r="C33" s="31" t="s">
        <v>75</v>
      </c>
      <c r="D33" s="49">
        <f>VLOOKUP(ToolFeatures[[#This Row],[FEATURE CODE]],FeatureTree[],5,FALSE)</f>
        <v>5</v>
      </c>
      <c r="E33" s="49" t="str">
        <f>VLOOKUP(ToolFeatures[[#This Row],[FEATURE CODE]],FeatureTree[],6,FALSE)</f>
        <v>Matching, linking and merging</v>
      </c>
      <c r="F33" s="49" t="str">
        <f>VLOOKUP(LEFT(ToolFeatures[[#This Row],[FEATURE CODE]],2),FeatureTree[],2,FALSE)</f>
        <v>Data Preparation and Cleaning</v>
      </c>
      <c r="G33" s="49" t="str">
        <f>VLOOKUP(LEFT(ToolFeatures[[#This Row],[FEATURE CODE]],5),FeatureTree[],2,FALSE)</f>
        <v>Identity Resolution, Linkage, Merging &amp; Consolidation</v>
      </c>
    </row>
    <row r="34" spans="1:7">
      <c r="A34" s="1" t="s">
        <v>169</v>
      </c>
      <c r="B34" s="1" t="s">
        <v>73</v>
      </c>
      <c r="C34" s="31" t="s">
        <v>76</v>
      </c>
      <c r="D34" s="49">
        <f>VLOOKUP(ToolFeatures[[#This Row],[FEATURE CODE]],FeatureTree[],5,FALSE)</f>
        <v>5</v>
      </c>
      <c r="E34" s="49" t="str">
        <f>VLOOKUP(ToolFeatures[[#This Row],[FEATURE CODE]],FeatureTree[],6,FALSE)</f>
        <v>Matching, linking and merging</v>
      </c>
      <c r="F34" s="49" t="str">
        <f>VLOOKUP(LEFT(ToolFeatures[[#This Row],[FEATURE CODE]],2),FeatureTree[],2,FALSE)</f>
        <v>Data Preparation and Cleaning</v>
      </c>
      <c r="G34" s="49" t="str">
        <f>VLOOKUP(LEFT(ToolFeatures[[#This Row],[FEATURE CODE]],5),FeatureTree[],2,FALSE)</f>
        <v>Identity Resolution, Linkage, Merging &amp; Consolidation</v>
      </c>
    </row>
    <row r="35" spans="1:7">
      <c r="A35" s="1" t="s">
        <v>169</v>
      </c>
      <c r="B35" s="1" t="s">
        <v>74</v>
      </c>
      <c r="C35" s="31" t="s">
        <v>77</v>
      </c>
      <c r="D35" s="49">
        <f>VLOOKUP(ToolFeatures[[#This Row],[FEATURE CODE]],FeatureTree[],5,FALSE)</f>
        <v>5</v>
      </c>
      <c r="E35" s="49" t="str">
        <f>VLOOKUP(ToolFeatures[[#This Row],[FEATURE CODE]],FeatureTree[],6,FALSE)</f>
        <v>Matching, linking and merging</v>
      </c>
      <c r="F35" s="49" t="str">
        <f>VLOOKUP(LEFT(ToolFeatures[[#This Row],[FEATURE CODE]],2),FeatureTree[],2,FALSE)</f>
        <v>Data Preparation and Cleaning</v>
      </c>
      <c r="G35" s="49" t="str">
        <f>VLOOKUP(LEFT(ToolFeatures[[#This Row],[FEATURE CODE]],5),FeatureTree[],2,FALSE)</f>
        <v>Identity Resolution, Linkage, Merging &amp; Consolidation</v>
      </c>
    </row>
    <row r="36" spans="1:7">
      <c r="A36" s="1" t="s">
        <v>169</v>
      </c>
      <c r="B36" s="1" t="s">
        <v>203</v>
      </c>
      <c r="C36" s="31" t="s">
        <v>81</v>
      </c>
      <c r="D36" s="49">
        <f>VLOOKUP(ToolFeatures[[#This Row],[FEATURE CODE]],FeatureTree[],5,FALSE)</f>
        <v>5</v>
      </c>
      <c r="E36" s="49" t="str">
        <f>VLOOKUP(ToolFeatures[[#This Row],[FEATURE CODE]],FeatureTree[],6,FALSE)</f>
        <v>Metadata management</v>
      </c>
      <c r="F36" s="49" t="str">
        <f>VLOOKUP(LEFT(ToolFeatures[[#This Row],[FEATURE CODE]],2),FeatureTree[],2,FALSE)</f>
        <v>Data Use</v>
      </c>
      <c r="G36" s="49" t="str">
        <f>VLOOKUP(LEFT(ToolFeatures[[#This Row],[FEATURE CODE]],5),FeatureTree[],2,FALSE)</f>
        <v>Metadata Management</v>
      </c>
    </row>
    <row r="37" spans="1:7">
      <c r="A37" s="1" t="s">
        <v>169</v>
      </c>
      <c r="B37" s="1" t="s">
        <v>204</v>
      </c>
      <c r="C37" s="31" t="s">
        <v>82</v>
      </c>
      <c r="D37" s="49">
        <f>VLOOKUP(ToolFeatures[[#This Row],[FEATURE CODE]],FeatureTree[],5,FALSE)</f>
        <v>5</v>
      </c>
      <c r="E37" s="49" t="str">
        <f>VLOOKUP(ToolFeatures[[#This Row],[FEATURE CODE]],FeatureTree[],6,FALSE)</f>
        <v>Metadata management</v>
      </c>
      <c r="F37" s="49" t="str">
        <f>VLOOKUP(LEFT(ToolFeatures[[#This Row],[FEATURE CODE]],2),FeatureTree[],2,FALSE)</f>
        <v>Data Use</v>
      </c>
      <c r="G37" s="49" t="str">
        <f>VLOOKUP(LEFT(ToolFeatures[[#This Row],[FEATURE CODE]],5),FeatureTree[],2,FALSE)</f>
        <v>Metadata Management</v>
      </c>
    </row>
    <row r="38" spans="1:7">
      <c r="A38" s="1" t="s">
        <v>169</v>
      </c>
      <c r="B38" s="1" t="s">
        <v>208</v>
      </c>
      <c r="C38" s="31" t="s">
        <v>86</v>
      </c>
      <c r="D38" s="49">
        <f>VLOOKUP(ToolFeatures[[#This Row],[FEATURE CODE]],FeatureTree[],5,FALSE)</f>
        <v>5</v>
      </c>
      <c r="E38" s="49" t="str">
        <f>VLOOKUP(ToolFeatures[[#This Row],[FEATURE CODE]],FeatureTree[],6,FALSE)</f>
        <v>Metadata management</v>
      </c>
      <c r="F38" s="49" t="str">
        <f>VLOOKUP(LEFT(ToolFeatures[[#This Row],[FEATURE CODE]],2),FeatureTree[],2,FALSE)</f>
        <v>Data Use</v>
      </c>
      <c r="G38" s="49" t="str">
        <f>VLOOKUP(LEFT(ToolFeatures[[#This Row],[FEATURE CODE]],5),FeatureTree[],2,FALSE)</f>
        <v>Metadata Management</v>
      </c>
    </row>
    <row r="39" spans="1:7">
      <c r="A39" s="1" t="s">
        <v>169</v>
      </c>
      <c r="B39" s="1" t="s">
        <v>231</v>
      </c>
      <c r="C39" s="31" t="s">
        <v>232</v>
      </c>
      <c r="D39" s="49">
        <f>VLOOKUP(ToolFeatures[[#This Row],[FEATURE CODE]],FeatureTree[],5,FALSE)</f>
        <v>5</v>
      </c>
      <c r="E39" s="49" t="str">
        <f>VLOOKUP(ToolFeatures[[#This Row],[FEATURE CODE]],FeatureTree[],6,FALSE)</f>
        <v>Usability</v>
      </c>
      <c r="F39" s="49" t="str">
        <f>VLOOKUP(LEFT(ToolFeatures[[#This Row],[FEATURE CODE]],2),FeatureTree[],2,FALSE)</f>
        <v>Data Use</v>
      </c>
      <c r="G39" s="49" t="str">
        <f>VLOOKUP(LEFT(ToolFeatures[[#This Row],[FEATURE CODE]],5),FeatureTree[],2,FALSE)</f>
        <v>Data Mining</v>
      </c>
    </row>
    <row r="40" spans="1:7">
      <c r="A40" s="1" t="s">
        <v>169</v>
      </c>
      <c r="B40" s="1" t="s">
        <v>233</v>
      </c>
      <c r="C40" s="31" t="s">
        <v>238</v>
      </c>
      <c r="D40" s="49">
        <f>VLOOKUP(ToolFeatures[[#This Row],[FEATURE CODE]],FeatureTree[],5,FALSE)</f>
        <v>5</v>
      </c>
      <c r="E40" s="49" t="str">
        <f>VLOOKUP(ToolFeatures[[#This Row],[FEATURE CODE]],FeatureTree[],6,FALSE)</f>
        <v>Usability</v>
      </c>
      <c r="F40" s="49" t="str">
        <f>VLOOKUP(LEFT(ToolFeatures[[#This Row],[FEATURE CODE]],2),FeatureTree[],2,FALSE)</f>
        <v>Data Use</v>
      </c>
      <c r="G40" s="49" t="str">
        <f>VLOOKUP(LEFT(ToolFeatures[[#This Row],[FEATURE CODE]],5),FeatureTree[],2,FALSE)</f>
        <v>Data Mining</v>
      </c>
    </row>
    <row r="41" spans="1:7">
      <c r="A41" s="1" t="s">
        <v>169</v>
      </c>
      <c r="B41" s="1" t="s">
        <v>234</v>
      </c>
      <c r="C41" s="31" t="s">
        <v>235</v>
      </c>
      <c r="D41" s="49">
        <f>VLOOKUP(ToolFeatures[[#This Row],[FEATURE CODE]],FeatureTree[],5,FALSE)</f>
        <v>5</v>
      </c>
      <c r="E41" s="49" t="str">
        <f>VLOOKUP(ToolFeatures[[#This Row],[FEATURE CODE]],FeatureTree[],6,FALSE)</f>
        <v>Usability</v>
      </c>
      <c r="F41" s="49" t="str">
        <f>VLOOKUP(LEFT(ToolFeatures[[#This Row],[FEATURE CODE]],2),FeatureTree[],2,FALSE)</f>
        <v>Data Use</v>
      </c>
      <c r="G41" s="49" t="str">
        <f>VLOOKUP(LEFT(ToolFeatures[[#This Row],[FEATURE CODE]],5),FeatureTree[],2,FALSE)</f>
        <v>Data Mining</v>
      </c>
    </row>
    <row r="42" spans="1:7">
      <c r="A42" s="1" t="s">
        <v>169</v>
      </c>
      <c r="B42" s="1" t="s">
        <v>236</v>
      </c>
      <c r="C42" s="31" t="s">
        <v>90</v>
      </c>
      <c r="D42" s="49">
        <f>VLOOKUP(ToolFeatures[[#This Row],[FEATURE CODE]],FeatureTree[],5,FALSE)</f>
        <v>5</v>
      </c>
      <c r="E42" s="49" t="str">
        <f>VLOOKUP(ToolFeatures[[#This Row],[FEATURE CODE]],FeatureTree[],6,FALSE)</f>
        <v>Usability</v>
      </c>
      <c r="F42" s="49" t="str">
        <f>VLOOKUP(LEFT(ToolFeatures[[#This Row],[FEATURE CODE]],2),FeatureTree[],2,FALSE)</f>
        <v>Data Use</v>
      </c>
      <c r="G42" s="49" t="str">
        <f>VLOOKUP(LEFT(ToolFeatures[[#This Row],[FEATURE CODE]],5),FeatureTree[],2,FALSE)</f>
        <v>Data Mining</v>
      </c>
    </row>
    <row r="43" spans="1:7">
      <c r="A43" s="1" t="s">
        <v>169</v>
      </c>
      <c r="B43" s="1" t="s">
        <v>239</v>
      </c>
      <c r="C43" s="31" t="s">
        <v>237</v>
      </c>
      <c r="D43" s="49">
        <f>VLOOKUP(ToolFeatures[[#This Row],[FEATURE CODE]],FeatureTree[],5,FALSE)</f>
        <v>5</v>
      </c>
      <c r="E43" s="49" t="str">
        <f>VLOOKUP(ToolFeatures[[#This Row],[FEATURE CODE]],FeatureTree[],6,FALSE)</f>
        <v>Architecture and integration</v>
      </c>
      <c r="F43" s="49" t="str">
        <f>VLOOKUP(LEFT(ToolFeatures[[#This Row],[FEATURE CODE]],2),FeatureTree[],2,FALSE)</f>
        <v>Data Use</v>
      </c>
      <c r="G43" s="49" t="str">
        <f>VLOOKUP(LEFT(ToolFeatures[[#This Row],[FEATURE CODE]],5),FeatureTree[],2,FALSE)</f>
        <v>Data Mining</v>
      </c>
    </row>
    <row r="44" spans="1:7">
      <c r="A44" s="1" t="s">
        <v>169</v>
      </c>
      <c r="B44" s="1" t="s">
        <v>127</v>
      </c>
      <c r="C44" s="31" t="s">
        <v>129</v>
      </c>
      <c r="D44" s="49">
        <f>VLOOKUP(ToolFeatures[[#This Row],[FEATURE CODE]],FeatureTree[],5,FALSE)</f>
        <v>5</v>
      </c>
      <c r="E44" s="49" t="str">
        <f>VLOOKUP(ToolFeatures[[#This Row],[FEATURE CODE]],FeatureTree[],6,FALSE)</f>
        <v>Monitoring</v>
      </c>
      <c r="F44" s="49" t="str">
        <f>VLOOKUP(LEFT(ToolFeatures[[#This Row],[FEATURE CODE]],2),FeatureTree[],2,FALSE)</f>
        <v>Data Monitoring</v>
      </c>
      <c r="G44" s="49" t="str">
        <f>VLOOKUP(LEFT(ToolFeatures[[#This Row],[FEATURE CODE]],5),FeatureTree[],2,FALSE)</f>
        <v>Monitoring &amp; Alerting</v>
      </c>
    </row>
    <row r="45" spans="1:7">
      <c r="A45" s="1" t="s">
        <v>169</v>
      </c>
      <c r="B45" s="1" t="s">
        <v>131</v>
      </c>
      <c r="C45" s="31" t="s">
        <v>128</v>
      </c>
      <c r="D45" s="49">
        <f>VLOOKUP(ToolFeatures[[#This Row],[FEATURE CODE]],FeatureTree[],5,FALSE)</f>
        <v>5</v>
      </c>
      <c r="E45" s="49" t="str">
        <f>VLOOKUP(ToolFeatures[[#This Row],[FEATURE CODE]],FeatureTree[],6,FALSE)</f>
        <v>Monitoring</v>
      </c>
      <c r="F45" s="49" t="str">
        <f>VLOOKUP(LEFT(ToolFeatures[[#This Row],[FEATURE CODE]],2),FeatureTree[],2,FALSE)</f>
        <v>Data Monitoring</v>
      </c>
      <c r="G45" s="49" t="str">
        <f>VLOOKUP(LEFT(ToolFeatures[[#This Row],[FEATURE CODE]],5),FeatureTree[],2,FALSE)</f>
        <v>Monitoring &amp; Alerting</v>
      </c>
    </row>
    <row r="46" spans="1:7">
      <c r="A46" s="1" t="s">
        <v>169</v>
      </c>
      <c r="B46" s="1" t="s">
        <v>132</v>
      </c>
      <c r="C46" s="31" t="s">
        <v>130</v>
      </c>
      <c r="D46" s="49">
        <f>VLOOKUP(ToolFeatures[[#This Row],[FEATURE CODE]],FeatureTree[],5,FALSE)</f>
        <v>5</v>
      </c>
      <c r="E46" s="49" t="str">
        <f>VLOOKUP(ToolFeatures[[#This Row],[FEATURE CODE]],FeatureTree[],6,FALSE)</f>
        <v>Monitoring</v>
      </c>
      <c r="F46" s="49" t="str">
        <f>VLOOKUP(LEFT(ToolFeatures[[#This Row],[FEATURE CODE]],2),FeatureTree[],2,FALSE)</f>
        <v>Data Monitoring</v>
      </c>
      <c r="G46" s="49" t="str">
        <f>VLOOKUP(LEFT(ToolFeatures[[#This Row],[FEATURE CODE]],5),FeatureTree[],2,FALSE)</f>
        <v>Monitoring &amp; Alerting</v>
      </c>
    </row>
    <row r="47" spans="1:7">
      <c r="A47" s="1" t="s">
        <v>245</v>
      </c>
      <c r="B47" s="1" t="s">
        <v>17</v>
      </c>
      <c r="C47" s="31" t="s">
        <v>16</v>
      </c>
      <c r="D47" s="49">
        <f>VLOOKUP(ToolFeatures[[#This Row],[FEATURE CODE]],FeatureTree[],5,FALSE)</f>
        <v>5</v>
      </c>
      <c r="E47" s="49" t="str">
        <f>VLOOKUP(ToolFeatures[[#This Row],[FEATURE CODE]],FeatureTree[],6,FALSE)</f>
        <v>Data profiling, measurement and visualization</v>
      </c>
      <c r="F47" s="49" t="str">
        <f>VLOOKUP(LEFT(ToolFeatures[[#This Row],[FEATURE CODE]],2),FeatureTree[],2,FALSE)</f>
        <v>Data Profiling, Exploration/Pattern Detection</v>
      </c>
      <c r="G47" s="49" t="str">
        <f>VLOOKUP(LEFT(ToolFeatures[[#This Row],[FEATURE CODE]],5),FeatureTree[],2,FALSE)</f>
        <v>Relationship discovery</v>
      </c>
    </row>
    <row r="48" spans="1:7">
      <c r="A48" s="1" t="s">
        <v>245</v>
      </c>
      <c r="B48" s="1" t="s">
        <v>18</v>
      </c>
      <c r="C48" s="31" t="s">
        <v>164</v>
      </c>
      <c r="D48" s="49">
        <f>VLOOKUP(ToolFeatures[[#This Row],[FEATURE CODE]],FeatureTree[],5,FALSE)</f>
        <v>5</v>
      </c>
      <c r="E48" s="49" t="str">
        <f>VLOOKUP(ToolFeatures[[#This Row],[FEATURE CODE]],FeatureTree[],6,FALSE)</f>
        <v>Data profiling, measurement and visualization</v>
      </c>
      <c r="F48" s="49" t="str">
        <f>VLOOKUP(LEFT(ToolFeatures[[#This Row],[FEATURE CODE]],2),FeatureTree[],2,FALSE)</f>
        <v>Data Profiling, Exploration/Pattern Detection</v>
      </c>
      <c r="G48" s="49" t="str">
        <f>VLOOKUP(LEFT(ToolFeatures[[#This Row],[FEATURE CODE]],5),FeatureTree[],2,FALSE)</f>
        <v>Relationship discovery</v>
      </c>
    </row>
    <row r="49" spans="1:7" ht="30">
      <c r="A49" s="1" t="s">
        <v>245</v>
      </c>
      <c r="B49" s="1" t="s">
        <v>19</v>
      </c>
      <c r="C49" s="31" t="s">
        <v>20</v>
      </c>
      <c r="D49" s="49">
        <f>VLOOKUP(ToolFeatures[[#This Row],[FEATURE CODE]],FeatureTree[],5,FALSE)</f>
        <v>5</v>
      </c>
      <c r="E49" s="49" t="str">
        <f>VLOOKUP(ToolFeatures[[#This Row],[FEATURE CODE]],FeatureTree[],6,FALSE)</f>
        <v>Data profiling, measurement and visualization</v>
      </c>
      <c r="F49" s="49" t="str">
        <f>VLOOKUP(LEFT(ToolFeatures[[#This Row],[FEATURE CODE]],2),FeatureTree[],2,FALSE)</f>
        <v>Data Profiling, Exploration/Pattern Detection</v>
      </c>
      <c r="G49" s="49" t="str">
        <f>VLOOKUP(LEFT(ToolFeatures[[#This Row],[FEATURE CODE]],5),FeatureTree[],2,FALSE)</f>
        <v>Relationship discovery</v>
      </c>
    </row>
    <row r="50" spans="1:7">
      <c r="A50" s="1" t="s">
        <v>245</v>
      </c>
      <c r="B50" s="1" t="s">
        <v>21</v>
      </c>
      <c r="C50" s="31" t="s">
        <v>24</v>
      </c>
      <c r="D50" s="49">
        <f>VLOOKUP(ToolFeatures[[#This Row],[FEATURE CODE]],FeatureTree[],5,FALSE)</f>
        <v>5</v>
      </c>
      <c r="E50" s="49" t="str">
        <f>VLOOKUP(ToolFeatures[[#This Row],[FEATURE CODE]],FeatureTree[],6,FALSE)</f>
        <v>Data profiling, measurement and visualization</v>
      </c>
      <c r="F50" s="49" t="str">
        <f>VLOOKUP(LEFT(ToolFeatures[[#This Row],[FEATURE CODE]],2),FeatureTree[],2,FALSE)</f>
        <v>Data Profiling, Exploration/Pattern Detection</v>
      </c>
      <c r="G50" s="49" t="str">
        <f>VLOOKUP(LEFT(ToolFeatures[[#This Row],[FEATURE CODE]],5),FeatureTree[],2,FALSE)</f>
        <v>Content discovery</v>
      </c>
    </row>
    <row r="51" spans="1:7">
      <c r="A51" s="1" t="s">
        <v>245</v>
      </c>
      <c r="B51" s="1" t="s">
        <v>22</v>
      </c>
      <c r="C51" s="31" t="s">
        <v>25</v>
      </c>
      <c r="D51" s="49">
        <f>VLOOKUP(ToolFeatures[[#This Row],[FEATURE CODE]],FeatureTree[],5,FALSE)</f>
        <v>5</v>
      </c>
      <c r="E51" s="49" t="str">
        <f>VLOOKUP(ToolFeatures[[#This Row],[FEATURE CODE]],FeatureTree[],6,FALSE)</f>
        <v>Data profiling, measurement and visualization</v>
      </c>
      <c r="F51" s="49" t="str">
        <f>VLOOKUP(LEFT(ToolFeatures[[#This Row],[FEATURE CODE]],2),FeatureTree[],2,FALSE)</f>
        <v>Data Profiling, Exploration/Pattern Detection</v>
      </c>
      <c r="G51" s="49" t="str">
        <f>VLOOKUP(LEFT(ToolFeatures[[#This Row],[FEATURE CODE]],5),FeatureTree[],2,FALSE)</f>
        <v>Content discovery</v>
      </c>
    </row>
    <row r="52" spans="1:7">
      <c r="A52" s="1" t="s">
        <v>245</v>
      </c>
      <c r="B52" s="1" t="s">
        <v>23</v>
      </c>
      <c r="C52" s="31" t="s">
        <v>26</v>
      </c>
      <c r="D52" s="49">
        <f>VLOOKUP(ToolFeatures[[#This Row],[FEATURE CODE]],FeatureTree[],5,FALSE)</f>
        <v>5</v>
      </c>
      <c r="E52" s="49" t="str">
        <f>VLOOKUP(ToolFeatures[[#This Row],[FEATURE CODE]],FeatureTree[],6,FALSE)</f>
        <v>Data profiling, measurement and visualization</v>
      </c>
      <c r="F52" s="49" t="str">
        <f>VLOOKUP(LEFT(ToolFeatures[[#This Row],[FEATURE CODE]],2),FeatureTree[],2,FALSE)</f>
        <v>Data Profiling, Exploration/Pattern Detection</v>
      </c>
      <c r="G52" s="49" t="str">
        <f>VLOOKUP(LEFT(ToolFeatures[[#This Row],[FEATURE CODE]],5),FeatureTree[],2,FALSE)</f>
        <v>Content discovery</v>
      </c>
    </row>
    <row r="53" spans="1:7" ht="30">
      <c r="A53" s="1" t="s">
        <v>245</v>
      </c>
      <c r="B53" s="1" t="s">
        <v>27</v>
      </c>
      <c r="C53" s="31" t="s">
        <v>30</v>
      </c>
      <c r="D53" s="49">
        <f>VLOOKUP(ToolFeatures[[#This Row],[FEATURE CODE]],FeatureTree[],5,FALSE)</f>
        <v>5</v>
      </c>
      <c r="E53" s="49" t="str">
        <f>VLOOKUP(ToolFeatures[[#This Row],[FEATURE CODE]],FeatureTree[],6,FALSE)</f>
        <v>Data profiling, measurement and visualization</v>
      </c>
      <c r="F53" s="49" t="str">
        <f>VLOOKUP(LEFT(ToolFeatures[[#This Row],[FEATURE CODE]],2),FeatureTree[],2,FALSE)</f>
        <v>Data Profiling, Exploration/Pattern Detection</v>
      </c>
      <c r="G53" s="49" t="str">
        <f>VLOOKUP(LEFT(ToolFeatures[[#This Row],[FEATURE CODE]],5),FeatureTree[],2,FALSE)</f>
        <v>Structure discovery</v>
      </c>
    </row>
    <row r="54" spans="1:7">
      <c r="A54" s="1" t="s">
        <v>245</v>
      </c>
      <c r="B54" s="1" t="s">
        <v>28</v>
      </c>
      <c r="C54" s="31" t="s">
        <v>31</v>
      </c>
      <c r="D54" s="49">
        <f>VLOOKUP(ToolFeatures[[#This Row],[FEATURE CODE]],FeatureTree[],5,FALSE)</f>
        <v>5</v>
      </c>
      <c r="E54" s="49" t="str">
        <f>VLOOKUP(ToolFeatures[[#This Row],[FEATURE CODE]],FeatureTree[],6,FALSE)</f>
        <v>Data profiling, measurement and visualization</v>
      </c>
      <c r="F54" s="49" t="str">
        <f>VLOOKUP(LEFT(ToolFeatures[[#This Row],[FEATURE CODE]],2),FeatureTree[],2,FALSE)</f>
        <v>Data Profiling, Exploration/Pattern Detection</v>
      </c>
      <c r="G54" s="49" t="str">
        <f>VLOOKUP(LEFT(ToolFeatures[[#This Row],[FEATURE CODE]],5),FeatureTree[],2,FALSE)</f>
        <v>Structure discovery</v>
      </c>
    </row>
    <row r="55" spans="1:7">
      <c r="A55" s="1" t="s">
        <v>245</v>
      </c>
      <c r="B55" s="1" t="s">
        <v>29</v>
      </c>
      <c r="C55" s="31" t="s">
        <v>32</v>
      </c>
      <c r="D55" s="49">
        <f>VLOOKUP(ToolFeatures[[#This Row],[FEATURE CODE]],FeatureTree[],5,FALSE)</f>
        <v>5</v>
      </c>
      <c r="E55" s="49" t="str">
        <f>VLOOKUP(ToolFeatures[[#This Row],[FEATURE CODE]],FeatureTree[],6,FALSE)</f>
        <v>Data profiling, measurement and visualization</v>
      </c>
      <c r="F55" s="49" t="str">
        <f>VLOOKUP(LEFT(ToolFeatures[[#This Row],[FEATURE CODE]],2),FeatureTree[],2,FALSE)</f>
        <v>Data Profiling, Exploration/Pattern Detection</v>
      </c>
      <c r="G55" s="49" t="str">
        <f>VLOOKUP(LEFT(ToolFeatures[[#This Row],[FEATURE CODE]],5),FeatureTree[],2,FALSE)</f>
        <v>Structure discovery</v>
      </c>
    </row>
    <row r="56" spans="1:7">
      <c r="A56" s="1" t="s">
        <v>245</v>
      </c>
      <c r="B56" s="1" t="s">
        <v>102</v>
      </c>
      <c r="C56" s="31" t="s">
        <v>99</v>
      </c>
      <c r="D56" s="49">
        <f>VLOOKUP(ToolFeatures[[#This Row],[FEATURE CODE]],FeatureTree[],5,FALSE)</f>
        <v>5</v>
      </c>
      <c r="E56" s="49" t="str">
        <f>VLOOKUP(ToolFeatures[[#This Row],[FEATURE CODE]],FeatureTree[],6,FALSE)</f>
        <v>Connectivity</v>
      </c>
      <c r="F56" s="49" t="str">
        <f>VLOOKUP(LEFT(ToolFeatures[[#This Row],[FEATURE CODE]],2),FeatureTree[],2,FALSE)</f>
        <v>Data Ingestion and Integration</v>
      </c>
      <c r="G56" s="49" t="str">
        <f>VLOOKUP(LEFT(ToolFeatures[[#This Row],[FEATURE CODE]],5),FeatureTree[],2,FALSE)</f>
        <v>Data Consolidation</v>
      </c>
    </row>
    <row r="57" spans="1:7">
      <c r="A57" s="1" t="s">
        <v>245</v>
      </c>
      <c r="B57" s="1" t="s">
        <v>231</v>
      </c>
      <c r="C57" s="31" t="s">
        <v>232</v>
      </c>
      <c r="D57" s="49">
        <f>VLOOKUP(ToolFeatures[[#This Row],[FEATURE CODE]],FeatureTree[],5,FALSE)</f>
        <v>5</v>
      </c>
      <c r="E57" s="49" t="str">
        <f>VLOOKUP(ToolFeatures[[#This Row],[FEATURE CODE]],FeatureTree[],6,FALSE)</f>
        <v>Usability</v>
      </c>
      <c r="F57" s="49" t="str">
        <f>VLOOKUP(LEFT(ToolFeatures[[#This Row],[FEATURE CODE]],2),FeatureTree[],2,FALSE)</f>
        <v>Data Use</v>
      </c>
      <c r="G57" s="49" t="str">
        <f>VLOOKUP(LEFT(ToolFeatures[[#This Row],[FEATURE CODE]],5),FeatureTree[],2,FALSE)</f>
        <v>Data Mining</v>
      </c>
    </row>
    <row r="58" spans="1:7">
      <c r="A58" s="1" t="s">
        <v>245</v>
      </c>
      <c r="B58" s="1" t="s">
        <v>233</v>
      </c>
      <c r="C58" s="31" t="s">
        <v>238</v>
      </c>
      <c r="D58" s="49">
        <f>VLOOKUP(ToolFeatures[[#This Row],[FEATURE CODE]],FeatureTree[],5,FALSE)</f>
        <v>5</v>
      </c>
      <c r="E58" s="49" t="str">
        <f>VLOOKUP(ToolFeatures[[#This Row],[FEATURE CODE]],FeatureTree[],6,FALSE)</f>
        <v>Usability</v>
      </c>
      <c r="F58" s="49" t="str">
        <f>VLOOKUP(LEFT(ToolFeatures[[#This Row],[FEATURE CODE]],2),FeatureTree[],2,FALSE)</f>
        <v>Data Use</v>
      </c>
      <c r="G58" s="49" t="str">
        <f>VLOOKUP(LEFT(ToolFeatures[[#This Row],[FEATURE CODE]],5),FeatureTree[],2,FALSE)</f>
        <v>Data Mining</v>
      </c>
    </row>
    <row r="59" spans="1:7">
      <c r="A59" s="1" t="s">
        <v>167</v>
      </c>
      <c r="B59" s="1" t="s">
        <v>17</v>
      </c>
      <c r="C59" s="31" t="s">
        <v>16</v>
      </c>
      <c r="D59" s="49">
        <f>VLOOKUP(ToolFeatures[[#This Row],[FEATURE CODE]],FeatureTree[],5,FALSE)</f>
        <v>5</v>
      </c>
      <c r="E59" s="49" t="str">
        <f>VLOOKUP(ToolFeatures[[#This Row],[FEATURE CODE]],FeatureTree[],6,FALSE)</f>
        <v>Data profiling, measurement and visualization</v>
      </c>
      <c r="F59" s="49" t="str">
        <f>VLOOKUP(LEFT(ToolFeatures[[#This Row],[FEATURE CODE]],2),FeatureTree[],2,FALSE)</f>
        <v>Data Profiling, Exploration/Pattern Detection</v>
      </c>
      <c r="G59" s="49" t="str">
        <f>VLOOKUP(LEFT(ToolFeatures[[#This Row],[FEATURE CODE]],5),FeatureTree[],2,FALSE)</f>
        <v>Relationship discovery</v>
      </c>
    </row>
    <row r="60" spans="1:7">
      <c r="A60" s="1" t="s">
        <v>167</v>
      </c>
      <c r="B60" s="1" t="s">
        <v>18</v>
      </c>
      <c r="C60" s="31" t="s">
        <v>164</v>
      </c>
      <c r="D60" s="49">
        <f>VLOOKUP(ToolFeatures[[#This Row],[FEATURE CODE]],FeatureTree[],5,FALSE)</f>
        <v>5</v>
      </c>
      <c r="E60" s="49" t="str">
        <f>VLOOKUP(ToolFeatures[[#This Row],[FEATURE CODE]],FeatureTree[],6,FALSE)</f>
        <v>Data profiling, measurement and visualization</v>
      </c>
      <c r="F60" s="49" t="str">
        <f>VLOOKUP(LEFT(ToolFeatures[[#This Row],[FEATURE CODE]],2),FeatureTree[],2,FALSE)</f>
        <v>Data Profiling, Exploration/Pattern Detection</v>
      </c>
      <c r="G60" s="49" t="str">
        <f>VLOOKUP(LEFT(ToolFeatures[[#This Row],[FEATURE CODE]],5),FeatureTree[],2,FALSE)</f>
        <v>Relationship discovery</v>
      </c>
    </row>
    <row r="61" spans="1:7" ht="30">
      <c r="A61" s="1" t="s">
        <v>167</v>
      </c>
      <c r="B61" s="1" t="s">
        <v>19</v>
      </c>
      <c r="C61" s="31" t="s">
        <v>20</v>
      </c>
      <c r="D61" s="49">
        <f>VLOOKUP(ToolFeatures[[#This Row],[FEATURE CODE]],FeatureTree[],5,FALSE)</f>
        <v>5</v>
      </c>
      <c r="E61" s="49" t="str">
        <f>VLOOKUP(ToolFeatures[[#This Row],[FEATURE CODE]],FeatureTree[],6,FALSE)</f>
        <v>Data profiling, measurement and visualization</v>
      </c>
      <c r="F61" s="49" t="str">
        <f>VLOOKUP(LEFT(ToolFeatures[[#This Row],[FEATURE CODE]],2),FeatureTree[],2,FALSE)</f>
        <v>Data Profiling, Exploration/Pattern Detection</v>
      </c>
      <c r="G61" s="49" t="str">
        <f>VLOOKUP(LEFT(ToolFeatures[[#This Row],[FEATURE CODE]],5),FeatureTree[],2,FALSE)</f>
        <v>Relationship discovery</v>
      </c>
    </row>
    <row r="62" spans="1:7">
      <c r="A62" s="1" t="s">
        <v>167</v>
      </c>
      <c r="B62" s="1" t="s">
        <v>21</v>
      </c>
      <c r="C62" s="31" t="s">
        <v>24</v>
      </c>
      <c r="D62" s="49">
        <f>VLOOKUP(ToolFeatures[[#This Row],[FEATURE CODE]],FeatureTree[],5,FALSE)</f>
        <v>5</v>
      </c>
      <c r="E62" s="49" t="str">
        <f>VLOOKUP(ToolFeatures[[#This Row],[FEATURE CODE]],FeatureTree[],6,FALSE)</f>
        <v>Data profiling, measurement and visualization</v>
      </c>
      <c r="F62" s="49" t="str">
        <f>VLOOKUP(LEFT(ToolFeatures[[#This Row],[FEATURE CODE]],2),FeatureTree[],2,FALSE)</f>
        <v>Data Profiling, Exploration/Pattern Detection</v>
      </c>
      <c r="G62" s="49" t="str">
        <f>VLOOKUP(LEFT(ToolFeatures[[#This Row],[FEATURE CODE]],5),FeatureTree[],2,FALSE)</f>
        <v>Content discovery</v>
      </c>
    </row>
    <row r="63" spans="1:7">
      <c r="A63" s="1" t="s">
        <v>167</v>
      </c>
      <c r="B63" s="1" t="s">
        <v>22</v>
      </c>
      <c r="C63" s="31" t="s">
        <v>25</v>
      </c>
      <c r="D63" s="49">
        <f>VLOOKUP(ToolFeatures[[#This Row],[FEATURE CODE]],FeatureTree[],5,FALSE)</f>
        <v>5</v>
      </c>
      <c r="E63" s="49" t="str">
        <f>VLOOKUP(ToolFeatures[[#This Row],[FEATURE CODE]],FeatureTree[],6,FALSE)</f>
        <v>Data profiling, measurement and visualization</v>
      </c>
      <c r="F63" s="49" t="str">
        <f>VLOOKUP(LEFT(ToolFeatures[[#This Row],[FEATURE CODE]],2),FeatureTree[],2,FALSE)</f>
        <v>Data Profiling, Exploration/Pattern Detection</v>
      </c>
      <c r="G63" s="49" t="str">
        <f>VLOOKUP(LEFT(ToolFeatures[[#This Row],[FEATURE CODE]],5),FeatureTree[],2,FALSE)</f>
        <v>Content discovery</v>
      </c>
    </row>
    <row r="64" spans="1:7">
      <c r="A64" s="1" t="s">
        <v>167</v>
      </c>
      <c r="B64" s="1" t="s">
        <v>23</v>
      </c>
      <c r="C64" s="31" t="s">
        <v>26</v>
      </c>
      <c r="D64" s="49">
        <f>VLOOKUP(ToolFeatures[[#This Row],[FEATURE CODE]],FeatureTree[],5,FALSE)</f>
        <v>5</v>
      </c>
      <c r="E64" s="49" t="str">
        <f>VLOOKUP(ToolFeatures[[#This Row],[FEATURE CODE]],FeatureTree[],6,FALSE)</f>
        <v>Data profiling, measurement and visualization</v>
      </c>
      <c r="F64" s="49" t="str">
        <f>VLOOKUP(LEFT(ToolFeatures[[#This Row],[FEATURE CODE]],2),FeatureTree[],2,FALSE)</f>
        <v>Data Profiling, Exploration/Pattern Detection</v>
      </c>
      <c r="G64" s="49" t="str">
        <f>VLOOKUP(LEFT(ToolFeatures[[#This Row],[FEATURE CODE]],5),FeatureTree[],2,FALSE)</f>
        <v>Content discovery</v>
      </c>
    </row>
    <row r="65" spans="1:7" ht="30">
      <c r="A65" s="1" t="s">
        <v>167</v>
      </c>
      <c r="B65" s="1" t="s">
        <v>27</v>
      </c>
      <c r="C65" s="31" t="s">
        <v>30</v>
      </c>
      <c r="D65" s="49">
        <f>VLOOKUP(ToolFeatures[[#This Row],[FEATURE CODE]],FeatureTree[],5,FALSE)</f>
        <v>5</v>
      </c>
      <c r="E65" s="49" t="str">
        <f>VLOOKUP(ToolFeatures[[#This Row],[FEATURE CODE]],FeatureTree[],6,FALSE)</f>
        <v>Data profiling, measurement and visualization</v>
      </c>
      <c r="F65" s="49" t="str">
        <f>VLOOKUP(LEFT(ToolFeatures[[#This Row],[FEATURE CODE]],2),FeatureTree[],2,FALSE)</f>
        <v>Data Profiling, Exploration/Pattern Detection</v>
      </c>
      <c r="G65" s="49" t="str">
        <f>VLOOKUP(LEFT(ToolFeatures[[#This Row],[FEATURE CODE]],5),FeatureTree[],2,FALSE)</f>
        <v>Structure discovery</v>
      </c>
    </row>
    <row r="66" spans="1:7">
      <c r="A66" s="1" t="s">
        <v>167</v>
      </c>
      <c r="B66" s="1" t="s">
        <v>28</v>
      </c>
      <c r="C66" s="31" t="s">
        <v>31</v>
      </c>
      <c r="D66" s="49">
        <f>VLOOKUP(ToolFeatures[[#This Row],[FEATURE CODE]],FeatureTree[],5,FALSE)</f>
        <v>5</v>
      </c>
      <c r="E66" s="49" t="str">
        <f>VLOOKUP(ToolFeatures[[#This Row],[FEATURE CODE]],FeatureTree[],6,FALSE)</f>
        <v>Data profiling, measurement and visualization</v>
      </c>
      <c r="F66" s="49" t="str">
        <f>VLOOKUP(LEFT(ToolFeatures[[#This Row],[FEATURE CODE]],2),FeatureTree[],2,FALSE)</f>
        <v>Data Profiling, Exploration/Pattern Detection</v>
      </c>
      <c r="G66" s="49" t="str">
        <f>VLOOKUP(LEFT(ToolFeatures[[#This Row],[FEATURE CODE]],5),FeatureTree[],2,FALSE)</f>
        <v>Structure discovery</v>
      </c>
    </row>
    <row r="67" spans="1:7">
      <c r="A67" s="1" t="s">
        <v>167</v>
      </c>
      <c r="B67" s="1" t="s">
        <v>29</v>
      </c>
      <c r="C67" s="31" t="s">
        <v>32</v>
      </c>
      <c r="D67" s="49">
        <f>VLOOKUP(ToolFeatures[[#This Row],[FEATURE CODE]],FeatureTree[],5,FALSE)</f>
        <v>5</v>
      </c>
      <c r="E67" s="49" t="str">
        <f>VLOOKUP(ToolFeatures[[#This Row],[FEATURE CODE]],FeatureTree[],6,FALSE)</f>
        <v>Data profiling, measurement and visualization</v>
      </c>
      <c r="F67" s="49" t="str">
        <f>VLOOKUP(LEFT(ToolFeatures[[#This Row],[FEATURE CODE]],2),FeatureTree[],2,FALSE)</f>
        <v>Data Profiling, Exploration/Pattern Detection</v>
      </c>
      <c r="G67" s="49" t="str">
        <f>VLOOKUP(LEFT(ToolFeatures[[#This Row],[FEATURE CODE]],5),FeatureTree[],2,FALSE)</f>
        <v>Structure discovery</v>
      </c>
    </row>
    <row r="68" spans="1:7">
      <c r="A68" s="1" t="s">
        <v>167</v>
      </c>
      <c r="B68" s="1" t="s">
        <v>102</v>
      </c>
      <c r="C68" s="31" t="s">
        <v>99</v>
      </c>
      <c r="D68" s="49">
        <f>VLOOKUP(ToolFeatures[[#This Row],[FEATURE CODE]],FeatureTree[],5,FALSE)</f>
        <v>5</v>
      </c>
      <c r="E68" s="49" t="str">
        <f>VLOOKUP(ToolFeatures[[#This Row],[FEATURE CODE]],FeatureTree[],6,FALSE)</f>
        <v>Connectivity</v>
      </c>
      <c r="F68" s="49" t="str">
        <f>VLOOKUP(LEFT(ToolFeatures[[#This Row],[FEATURE CODE]],2),FeatureTree[],2,FALSE)</f>
        <v>Data Ingestion and Integration</v>
      </c>
      <c r="G68" s="49" t="str">
        <f>VLOOKUP(LEFT(ToolFeatures[[#This Row],[FEATURE CODE]],5),FeatureTree[],2,FALSE)</f>
        <v>Data Consolidation</v>
      </c>
    </row>
    <row r="69" spans="1:7">
      <c r="A69" s="1" t="s">
        <v>167</v>
      </c>
      <c r="B69" s="1" t="s">
        <v>33</v>
      </c>
      <c r="C69" s="31" t="s">
        <v>223</v>
      </c>
      <c r="D69" s="49">
        <f>VLOOKUP(ToolFeatures[[#This Row],[FEATURE CODE]],FeatureTree[],5,FALSE)</f>
        <v>5</v>
      </c>
      <c r="E69" s="49" t="str">
        <f>VLOOKUP(ToolFeatures[[#This Row],[FEATURE CODE]],FeatureTree[],6,FALSE)</f>
        <v>Parsing</v>
      </c>
      <c r="F69" s="49" t="str">
        <f>VLOOKUP(LEFT(ToolFeatures[[#This Row],[FEATURE CODE]],2),FeatureTree[],2,FALSE)</f>
        <v>Data Ingestion and Integration</v>
      </c>
      <c r="G69" s="49" t="str">
        <f>VLOOKUP(LEFT(ToolFeatures[[#This Row],[FEATURE CODE]],5),FeatureTree[],2,FALSE)</f>
        <v>Data Consolidation</v>
      </c>
    </row>
    <row r="70" spans="1:7" ht="30">
      <c r="A70" s="1" t="s">
        <v>167</v>
      </c>
      <c r="B70" s="1" t="s">
        <v>47</v>
      </c>
      <c r="C70" s="31" t="s">
        <v>94</v>
      </c>
      <c r="D70" s="49">
        <f>VLOOKUP(ToolFeatures[[#This Row],[FEATURE CODE]],FeatureTree[],5,FALSE)</f>
        <v>5</v>
      </c>
      <c r="E70" s="49" t="str">
        <f>VLOOKUP(ToolFeatures[[#This Row],[FEATURE CODE]],FeatureTree[],6,FALSE)</f>
        <v>Issue resolution and workflow</v>
      </c>
      <c r="F70" s="49" t="str">
        <f>VLOOKUP(LEFT(ToolFeatures[[#This Row],[FEATURE CODE]],2),FeatureTree[],2,FALSE)</f>
        <v>Data Ingestion and Integration</v>
      </c>
      <c r="G70" s="49" t="str">
        <f>VLOOKUP(LEFT(ToolFeatures[[#This Row],[FEATURE CODE]],5),FeatureTree[],2,FALSE)</f>
        <v>Data Propagation</v>
      </c>
    </row>
    <row r="71" spans="1:7" ht="20.45" customHeight="1">
      <c r="A71" s="1" t="s">
        <v>167</v>
      </c>
      <c r="B71" s="1" t="s">
        <v>56</v>
      </c>
      <c r="C71" s="31" t="s">
        <v>39</v>
      </c>
      <c r="D71" s="49">
        <f>VLOOKUP(ToolFeatures[[#This Row],[FEATURE CODE]],FeatureTree[],5,FALSE)</f>
        <v>5</v>
      </c>
      <c r="E71" s="49" t="str">
        <f>VLOOKUP(ToolFeatures[[#This Row],[FEATURE CODE]],FeatureTree[],6,FALSE)</f>
        <v>Issue resolution and workflow</v>
      </c>
      <c r="F71" s="49" t="str">
        <f>VLOOKUP(LEFT(ToolFeatures[[#This Row],[FEATURE CODE]],2),FeatureTree[],2,FALSE)</f>
        <v>Data Ingestion and Integration</v>
      </c>
      <c r="G71" s="49" t="str">
        <f>VLOOKUP(LEFT(ToolFeatures[[#This Row],[FEATURE CODE]],5),FeatureTree[],2,FALSE)</f>
        <v>Data Federation</v>
      </c>
    </row>
    <row r="72" spans="1:7">
      <c r="A72" s="1" t="s">
        <v>167</v>
      </c>
      <c r="B72" s="1" t="s">
        <v>58</v>
      </c>
      <c r="C72" s="31" t="s">
        <v>40</v>
      </c>
      <c r="D72" s="49">
        <f>VLOOKUP(ToolFeatures[[#This Row],[FEATURE CODE]],FeatureTree[],5,FALSE)</f>
        <v>5</v>
      </c>
      <c r="E72" s="49" t="str">
        <f>VLOOKUP(ToolFeatures[[#This Row],[FEATURE CODE]],FeatureTree[],6,FALSE)</f>
        <v>Standardization and cleansing</v>
      </c>
      <c r="F72" s="49" t="str">
        <f>VLOOKUP(LEFT(ToolFeatures[[#This Row],[FEATURE CODE]],2),FeatureTree[],2,FALSE)</f>
        <v>Data Preparation and Cleaning</v>
      </c>
      <c r="G72" s="49" t="str">
        <f>VLOOKUP(LEFT(ToolFeatures[[#This Row],[FEATURE CODE]],5),FeatureTree[],2,FALSE)</f>
        <v>Parsing and Standardization</v>
      </c>
    </row>
    <row r="73" spans="1:7">
      <c r="A73" s="1" t="s">
        <v>167</v>
      </c>
      <c r="B73" s="1" t="s">
        <v>59</v>
      </c>
      <c r="C73" s="31" t="s">
        <v>41</v>
      </c>
      <c r="D73" s="49">
        <f>VLOOKUP(ToolFeatures[[#This Row],[FEATURE CODE]],FeatureTree[],5,FALSE)</f>
        <v>5</v>
      </c>
      <c r="E73" s="49" t="str">
        <f>VLOOKUP(ToolFeatures[[#This Row],[FEATURE CODE]],FeatureTree[],6,FALSE)</f>
        <v>Standardization and cleansing</v>
      </c>
      <c r="F73" s="49" t="str">
        <f>VLOOKUP(LEFT(ToolFeatures[[#This Row],[FEATURE CODE]],2),FeatureTree[],2,FALSE)</f>
        <v>Data Preparation and Cleaning</v>
      </c>
      <c r="G73" s="49" t="str">
        <f>VLOOKUP(LEFT(ToolFeatures[[#This Row],[FEATURE CODE]],5),FeatureTree[],2,FALSE)</f>
        <v>Parsing and Standardization</v>
      </c>
    </row>
    <row r="74" spans="1:7">
      <c r="A74" s="1" t="s">
        <v>167</v>
      </c>
      <c r="B74" s="1" t="s">
        <v>60</v>
      </c>
      <c r="C74" s="31" t="s">
        <v>42</v>
      </c>
      <c r="D74" s="49">
        <f>VLOOKUP(ToolFeatures[[#This Row],[FEATURE CODE]],FeatureTree[],5,FALSE)</f>
        <v>5</v>
      </c>
      <c r="E74" s="49" t="str">
        <f>VLOOKUP(ToolFeatures[[#This Row],[FEATURE CODE]],FeatureTree[],6,FALSE)</f>
        <v>Data curation and enrichment</v>
      </c>
      <c r="F74" s="49" t="str">
        <f>VLOOKUP(LEFT(ToolFeatures[[#This Row],[FEATURE CODE]],2),FeatureTree[],2,FALSE)</f>
        <v>Data Preparation and Cleaning</v>
      </c>
      <c r="G74" s="49" t="str">
        <f>VLOOKUP(LEFT(ToolFeatures[[#This Row],[FEATURE CODE]],5),FeatureTree[],2,FALSE)</f>
        <v>Parsing and Standardization</v>
      </c>
    </row>
    <row r="75" spans="1:7">
      <c r="A75" s="1" t="s">
        <v>167</v>
      </c>
      <c r="B75" s="1" t="s">
        <v>62</v>
      </c>
      <c r="C75" s="31" t="s">
        <v>44</v>
      </c>
      <c r="D75" s="49">
        <f>VLOOKUP(ToolFeatures[[#This Row],[FEATURE CODE]],FeatureTree[],5,FALSE)</f>
        <v>5</v>
      </c>
      <c r="E75" s="49" t="str">
        <f>VLOOKUP(ToolFeatures[[#This Row],[FEATURE CODE]],FeatureTree[],6,FALSE)</f>
        <v>Address validation / geocoding</v>
      </c>
      <c r="F75" s="49" t="str">
        <f>VLOOKUP(LEFT(ToolFeatures[[#This Row],[FEATURE CODE]],2),FeatureTree[],2,FALSE)</f>
        <v>Data Preparation and Cleaning</v>
      </c>
      <c r="G75" s="49" t="str">
        <f>VLOOKUP(LEFT(ToolFeatures[[#This Row],[FEATURE CODE]],5),FeatureTree[],2,FALSE)</f>
        <v>Parsing and Standardization</v>
      </c>
    </row>
    <row r="76" spans="1:7">
      <c r="A76" s="1" t="s">
        <v>167</v>
      </c>
      <c r="B76" s="1" t="s">
        <v>67</v>
      </c>
      <c r="C76" s="31" t="s">
        <v>46</v>
      </c>
      <c r="D76" s="49">
        <f>VLOOKUP(ToolFeatures[[#This Row],[FEATURE CODE]],FeatureTree[],5,FALSE)</f>
        <v>5</v>
      </c>
      <c r="E76" s="49" t="str">
        <f>VLOOKUP(ToolFeatures[[#This Row],[FEATURE CODE]],FeatureTree[],6,FALSE)</f>
        <v>Matching, linking and merging</v>
      </c>
      <c r="F76" s="49" t="str">
        <f>VLOOKUP(LEFT(ToolFeatures[[#This Row],[FEATURE CODE]],2),FeatureTree[],2,FALSE)</f>
        <v>Data Preparation and Cleaning</v>
      </c>
      <c r="G76" s="49" t="str">
        <f>VLOOKUP(LEFT(ToolFeatures[[#This Row],[FEATURE CODE]],5),FeatureTree[],2,FALSE)</f>
        <v>Identity Resolution, Linkage, Merging &amp; Consolidation</v>
      </c>
    </row>
    <row r="77" spans="1:7">
      <c r="A77" s="1" t="s">
        <v>167</v>
      </c>
      <c r="B77" s="1" t="s">
        <v>68</v>
      </c>
      <c r="C77" s="31" t="s">
        <v>78</v>
      </c>
      <c r="D77" s="49">
        <f>VLOOKUP(ToolFeatures[[#This Row],[FEATURE CODE]],FeatureTree[],5,FALSE)</f>
        <v>5</v>
      </c>
      <c r="E77" s="49" t="str">
        <f>VLOOKUP(ToolFeatures[[#This Row],[FEATURE CODE]],FeatureTree[],6,FALSE)</f>
        <v>Data curation and enrichment</v>
      </c>
      <c r="F77" s="49" t="str">
        <f>VLOOKUP(LEFT(ToolFeatures[[#This Row],[FEATURE CODE]],2),FeatureTree[],2,FALSE)</f>
        <v>Data Preparation and Cleaning</v>
      </c>
      <c r="G77" s="49" t="str">
        <f>VLOOKUP(LEFT(ToolFeatures[[#This Row],[FEATURE CODE]],5),FeatureTree[],2,FALSE)</f>
        <v>Identity Resolution, Linkage, Merging &amp; Consolidation</v>
      </c>
    </row>
    <row r="78" spans="1:7">
      <c r="A78" s="1" t="s">
        <v>167</v>
      </c>
      <c r="B78" s="1" t="s">
        <v>71</v>
      </c>
      <c r="C78" s="31" t="s">
        <v>69</v>
      </c>
      <c r="D78" s="49">
        <f>VLOOKUP(ToolFeatures[[#This Row],[FEATURE CODE]],FeatureTree[],5,FALSE)</f>
        <v>5</v>
      </c>
      <c r="E78" s="49" t="str">
        <f>VLOOKUP(ToolFeatures[[#This Row],[FEATURE CODE]],FeatureTree[],6,FALSE)</f>
        <v>Matching, linking and merging</v>
      </c>
      <c r="F78" s="49" t="str">
        <f>VLOOKUP(LEFT(ToolFeatures[[#This Row],[FEATURE CODE]],2),FeatureTree[],2,FALSE)</f>
        <v>Data Preparation and Cleaning</v>
      </c>
      <c r="G78" s="49" t="str">
        <f>VLOOKUP(LEFT(ToolFeatures[[#This Row],[FEATURE CODE]],5),FeatureTree[],2,FALSE)</f>
        <v>Identity Resolution, Linkage, Merging &amp; Consolidation</v>
      </c>
    </row>
    <row r="79" spans="1:7">
      <c r="A79" s="1" t="s">
        <v>167</v>
      </c>
      <c r="B79" s="1" t="s">
        <v>72</v>
      </c>
      <c r="C79" s="31" t="s">
        <v>75</v>
      </c>
      <c r="D79" s="49">
        <f>VLOOKUP(ToolFeatures[[#This Row],[FEATURE CODE]],FeatureTree[],5,FALSE)</f>
        <v>5</v>
      </c>
      <c r="E79" s="49" t="str">
        <f>VLOOKUP(ToolFeatures[[#This Row],[FEATURE CODE]],FeatureTree[],6,FALSE)</f>
        <v>Matching, linking and merging</v>
      </c>
      <c r="F79" s="49" t="str">
        <f>VLOOKUP(LEFT(ToolFeatures[[#This Row],[FEATURE CODE]],2),FeatureTree[],2,FALSE)</f>
        <v>Data Preparation and Cleaning</v>
      </c>
      <c r="G79" s="49" t="str">
        <f>VLOOKUP(LEFT(ToolFeatures[[#This Row],[FEATURE CODE]],5),FeatureTree[],2,FALSE)</f>
        <v>Identity Resolution, Linkage, Merging &amp; Consolidation</v>
      </c>
    </row>
    <row r="80" spans="1:7">
      <c r="A80" s="1" t="s">
        <v>167</v>
      </c>
      <c r="B80" s="1" t="s">
        <v>73</v>
      </c>
      <c r="C80" s="31" t="s">
        <v>76</v>
      </c>
      <c r="D80" s="49">
        <f>VLOOKUP(ToolFeatures[[#This Row],[FEATURE CODE]],FeatureTree[],5,FALSE)</f>
        <v>5</v>
      </c>
      <c r="E80" s="49" t="str">
        <f>VLOOKUP(ToolFeatures[[#This Row],[FEATURE CODE]],FeatureTree[],6,FALSE)</f>
        <v>Matching, linking and merging</v>
      </c>
      <c r="F80" s="49" t="str">
        <f>VLOOKUP(LEFT(ToolFeatures[[#This Row],[FEATURE CODE]],2),FeatureTree[],2,FALSE)</f>
        <v>Data Preparation and Cleaning</v>
      </c>
      <c r="G80" s="49" t="str">
        <f>VLOOKUP(LEFT(ToolFeatures[[#This Row],[FEATURE CODE]],5),FeatureTree[],2,FALSE)</f>
        <v>Identity Resolution, Linkage, Merging &amp; Consolidation</v>
      </c>
    </row>
    <row r="81" spans="1:7">
      <c r="A81" s="1" t="s">
        <v>167</v>
      </c>
      <c r="B81" s="1" t="s">
        <v>74</v>
      </c>
      <c r="C81" s="31" t="s">
        <v>77</v>
      </c>
      <c r="D81" s="49">
        <f>VLOOKUP(ToolFeatures[[#This Row],[FEATURE CODE]],FeatureTree[],5,FALSE)</f>
        <v>5</v>
      </c>
      <c r="E81" s="49" t="str">
        <f>VLOOKUP(ToolFeatures[[#This Row],[FEATURE CODE]],FeatureTree[],6,FALSE)</f>
        <v>Matching, linking and merging</v>
      </c>
      <c r="F81" s="49" t="str">
        <f>VLOOKUP(LEFT(ToolFeatures[[#This Row],[FEATURE CODE]],2),FeatureTree[],2,FALSE)</f>
        <v>Data Preparation and Cleaning</v>
      </c>
      <c r="G81" s="49" t="str">
        <f>VLOOKUP(LEFT(ToolFeatures[[#This Row],[FEATURE CODE]],5),FeatureTree[],2,FALSE)</f>
        <v>Identity Resolution, Linkage, Merging &amp; Consolidation</v>
      </c>
    </row>
    <row r="82" spans="1:7">
      <c r="A82" s="1" t="s">
        <v>167</v>
      </c>
      <c r="B82" s="1" t="s">
        <v>231</v>
      </c>
      <c r="C82" s="31" t="s">
        <v>232</v>
      </c>
      <c r="D82" s="49">
        <f>VLOOKUP(ToolFeatures[[#This Row],[FEATURE CODE]],FeatureTree[],5,FALSE)</f>
        <v>5</v>
      </c>
      <c r="E82" s="49" t="str">
        <f>VLOOKUP(ToolFeatures[[#This Row],[FEATURE CODE]],FeatureTree[],6,FALSE)</f>
        <v>Usability</v>
      </c>
      <c r="F82" s="49" t="str">
        <f>VLOOKUP(LEFT(ToolFeatures[[#This Row],[FEATURE CODE]],2),FeatureTree[],2,FALSE)</f>
        <v>Data Use</v>
      </c>
      <c r="G82" s="49" t="str">
        <f>VLOOKUP(LEFT(ToolFeatures[[#This Row],[FEATURE CODE]],5),FeatureTree[],2,FALSE)</f>
        <v>Data Mining</v>
      </c>
    </row>
    <row r="83" spans="1:7">
      <c r="A83" s="1" t="s">
        <v>167</v>
      </c>
      <c r="B83" s="1" t="s">
        <v>233</v>
      </c>
      <c r="C83" s="31" t="s">
        <v>238</v>
      </c>
      <c r="D83" s="49">
        <f>VLOOKUP(ToolFeatures[[#This Row],[FEATURE CODE]],FeatureTree[],5,FALSE)</f>
        <v>5</v>
      </c>
      <c r="E83" s="49" t="str">
        <f>VLOOKUP(ToolFeatures[[#This Row],[FEATURE CODE]],FeatureTree[],6,FALSE)</f>
        <v>Usability</v>
      </c>
      <c r="F83" s="49" t="str">
        <f>VLOOKUP(LEFT(ToolFeatures[[#This Row],[FEATURE CODE]],2),FeatureTree[],2,FALSE)</f>
        <v>Data Use</v>
      </c>
      <c r="G83" s="49" t="str">
        <f>VLOOKUP(LEFT(ToolFeatures[[#This Row],[FEATURE CODE]],5),FeatureTree[],2,FALSE)</f>
        <v>Data Mining</v>
      </c>
    </row>
    <row r="84" spans="1:7">
      <c r="A84" s="1" t="s">
        <v>167</v>
      </c>
      <c r="B84" s="1" t="s">
        <v>234</v>
      </c>
      <c r="C84" s="31" t="s">
        <v>235</v>
      </c>
      <c r="D84" s="49">
        <f>VLOOKUP(ToolFeatures[[#This Row],[FEATURE CODE]],FeatureTree[],5,FALSE)</f>
        <v>5</v>
      </c>
      <c r="E84" s="49" t="str">
        <f>VLOOKUP(ToolFeatures[[#This Row],[FEATURE CODE]],FeatureTree[],6,FALSE)</f>
        <v>Usability</v>
      </c>
      <c r="F84" s="49" t="str">
        <f>VLOOKUP(LEFT(ToolFeatures[[#This Row],[FEATURE CODE]],2),FeatureTree[],2,FALSE)</f>
        <v>Data Use</v>
      </c>
      <c r="G84" s="49" t="str">
        <f>VLOOKUP(LEFT(ToolFeatures[[#This Row],[FEATURE CODE]],5),FeatureTree[],2,FALSE)</f>
        <v>Data Mining</v>
      </c>
    </row>
    <row r="85" spans="1:7">
      <c r="A85" s="1" t="s">
        <v>167</v>
      </c>
      <c r="B85" s="1" t="s">
        <v>236</v>
      </c>
      <c r="C85" s="31" t="s">
        <v>90</v>
      </c>
      <c r="D85" s="49">
        <f>VLOOKUP(ToolFeatures[[#This Row],[FEATURE CODE]],FeatureTree[],5,FALSE)</f>
        <v>5</v>
      </c>
      <c r="E85" s="49" t="str">
        <f>VLOOKUP(ToolFeatures[[#This Row],[FEATURE CODE]],FeatureTree[],6,FALSE)</f>
        <v>Usability</v>
      </c>
      <c r="F85" s="49" t="str">
        <f>VLOOKUP(LEFT(ToolFeatures[[#This Row],[FEATURE CODE]],2),FeatureTree[],2,FALSE)</f>
        <v>Data Use</v>
      </c>
      <c r="G85" s="49" t="str">
        <f>VLOOKUP(LEFT(ToolFeatures[[#This Row],[FEATURE CODE]],5),FeatureTree[],2,FALSE)</f>
        <v>Data Mining</v>
      </c>
    </row>
    <row r="86" spans="1:7">
      <c r="A86" s="1" t="s">
        <v>167</v>
      </c>
      <c r="B86" s="1" t="s">
        <v>239</v>
      </c>
      <c r="C86" s="31" t="s">
        <v>237</v>
      </c>
      <c r="D86" s="49">
        <f>VLOOKUP(ToolFeatures[[#This Row],[FEATURE CODE]],FeatureTree[],5,FALSE)</f>
        <v>5</v>
      </c>
      <c r="E86" s="49" t="str">
        <f>VLOOKUP(ToolFeatures[[#This Row],[FEATURE CODE]],FeatureTree[],6,FALSE)</f>
        <v>Architecture and integration</v>
      </c>
      <c r="F86" s="49" t="str">
        <f>VLOOKUP(LEFT(ToolFeatures[[#This Row],[FEATURE CODE]],2),FeatureTree[],2,FALSE)</f>
        <v>Data Use</v>
      </c>
      <c r="G86" s="49" t="str">
        <f>VLOOKUP(LEFT(ToolFeatures[[#This Row],[FEATURE CODE]],5),FeatureTree[],2,FALSE)</f>
        <v>Data Mining</v>
      </c>
    </row>
    <row r="87" spans="1:7">
      <c r="A87" s="1" t="s">
        <v>167</v>
      </c>
      <c r="B87" s="1" t="s">
        <v>127</v>
      </c>
      <c r="C87" s="31" t="s">
        <v>129</v>
      </c>
      <c r="D87" s="49">
        <f>VLOOKUP(ToolFeatures[[#This Row],[FEATURE CODE]],FeatureTree[],5,FALSE)</f>
        <v>5</v>
      </c>
      <c r="E87" s="49" t="str">
        <f>VLOOKUP(ToolFeatures[[#This Row],[FEATURE CODE]],FeatureTree[],6,FALSE)</f>
        <v>Monitoring</v>
      </c>
      <c r="F87" s="49" t="str">
        <f>VLOOKUP(LEFT(ToolFeatures[[#This Row],[FEATURE CODE]],2),FeatureTree[],2,FALSE)</f>
        <v>Data Monitoring</v>
      </c>
      <c r="G87" s="49" t="str">
        <f>VLOOKUP(LEFT(ToolFeatures[[#This Row],[FEATURE CODE]],5),FeatureTree[],2,FALSE)</f>
        <v>Monitoring &amp; Alerting</v>
      </c>
    </row>
    <row r="88" spans="1:7">
      <c r="A88" s="1" t="s">
        <v>167</v>
      </c>
      <c r="B88" s="1" t="s">
        <v>131</v>
      </c>
      <c r="C88" s="31" t="s">
        <v>128</v>
      </c>
      <c r="D88" s="49">
        <f>VLOOKUP(ToolFeatures[[#This Row],[FEATURE CODE]],FeatureTree[],5,FALSE)</f>
        <v>5</v>
      </c>
      <c r="E88" s="49" t="str">
        <f>VLOOKUP(ToolFeatures[[#This Row],[FEATURE CODE]],FeatureTree[],6,FALSE)</f>
        <v>Monitoring</v>
      </c>
      <c r="F88" s="49" t="str">
        <f>VLOOKUP(LEFT(ToolFeatures[[#This Row],[FEATURE CODE]],2),FeatureTree[],2,FALSE)</f>
        <v>Data Monitoring</v>
      </c>
      <c r="G88" s="49" t="str">
        <f>VLOOKUP(LEFT(ToolFeatures[[#This Row],[FEATURE CODE]],5),FeatureTree[],2,FALSE)</f>
        <v>Monitoring &amp; Alerting</v>
      </c>
    </row>
    <row r="89" spans="1:7">
      <c r="A89" s="1" t="s">
        <v>167</v>
      </c>
      <c r="B89" s="1" t="s">
        <v>132</v>
      </c>
      <c r="C89" s="31" t="s">
        <v>130</v>
      </c>
      <c r="D89" s="49">
        <f>VLOOKUP(ToolFeatures[[#This Row],[FEATURE CODE]],FeatureTree[],5,FALSE)</f>
        <v>5</v>
      </c>
      <c r="E89" s="49" t="str">
        <f>VLOOKUP(ToolFeatures[[#This Row],[FEATURE CODE]],FeatureTree[],6,FALSE)</f>
        <v>Monitoring</v>
      </c>
      <c r="F89" s="49" t="str">
        <f>VLOOKUP(LEFT(ToolFeatures[[#This Row],[FEATURE CODE]],2),FeatureTree[],2,FALSE)</f>
        <v>Data Monitoring</v>
      </c>
      <c r="G89" s="49" t="str">
        <f>VLOOKUP(LEFT(ToolFeatures[[#This Row],[FEATURE CODE]],5),FeatureTree[],2,FALSE)</f>
        <v>Monitoring &amp; Alerting</v>
      </c>
    </row>
    <row r="90" spans="1:7">
      <c r="A90" s="1" t="s">
        <v>148</v>
      </c>
      <c r="B90" s="1" t="s">
        <v>17</v>
      </c>
      <c r="C90" s="31" t="s">
        <v>16</v>
      </c>
      <c r="D90" s="49">
        <f>VLOOKUP(ToolFeatures[[#This Row],[FEATURE CODE]],FeatureTree[],5,FALSE)</f>
        <v>5</v>
      </c>
      <c r="E90" s="49" t="str">
        <f>VLOOKUP(ToolFeatures[[#This Row],[FEATURE CODE]],FeatureTree[],6,FALSE)</f>
        <v>Data profiling, measurement and visualization</v>
      </c>
      <c r="F90" s="49" t="str">
        <f>VLOOKUP(LEFT(ToolFeatures[[#This Row],[FEATURE CODE]],2),FeatureTree[],2,FALSE)</f>
        <v>Data Profiling, Exploration/Pattern Detection</v>
      </c>
      <c r="G90" s="49" t="str">
        <f>VLOOKUP(LEFT(ToolFeatures[[#This Row],[FEATURE CODE]],5),FeatureTree[],2,FALSE)</f>
        <v>Relationship discovery</v>
      </c>
    </row>
    <row r="91" spans="1:7">
      <c r="A91" s="1" t="s">
        <v>148</v>
      </c>
      <c r="B91" s="1" t="s">
        <v>18</v>
      </c>
      <c r="C91" s="31" t="s">
        <v>164</v>
      </c>
      <c r="D91" s="49">
        <f>VLOOKUP(ToolFeatures[[#This Row],[FEATURE CODE]],FeatureTree[],5,FALSE)</f>
        <v>5</v>
      </c>
      <c r="E91" s="49" t="str">
        <f>VLOOKUP(ToolFeatures[[#This Row],[FEATURE CODE]],FeatureTree[],6,FALSE)</f>
        <v>Data profiling, measurement and visualization</v>
      </c>
      <c r="F91" s="49" t="str">
        <f>VLOOKUP(LEFT(ToolFeatures[[#This Row],[FEATURE CODE]],2),FeatureTree[],2,FALSE)</f>
        <v>Data Profiling, Exploration/Pattern Detection</v>
      </c>
      <c r="G91" s="49" t="str">
        <f>VLOOKUP(LEFT(ToolFeatures[[#This Row],[FEATURE CODE]],5),FeatureTree[],2,FALSE)</f>
        <v>Relationship discovery</v>
      </c>
    </row>
    <row r="92" spans="1:7" ht="30">
      <c r="A92" s="1" t="s">
        <v>148</v>
      </c>
      <c r="B92" s="1" t="s">
        <v>19</v>
      </c>
      <c r="C92" s="31" t="s">
        <v>20</v>
      </c>
      <c r="D92" s="49">
        <f>VLOOKUP(ToolFeatures[[#This Row],[FEATURE CODE]],FeatureTree[],5,FALSE)</f>
        <v>5</v>
      </c>
      <c r="E92" s="49" t="str">
        <f>VLOOKUP(ToolFeatures[[#This Row],[FEATURE CODE]],FeatureTree[],6,FALSE)</f>
        <v>Data profiling, measurement and visualization</v>
      </c>
      <c r="F92" s="49" t="str">
        <f>VLOOKUP(LEFT(ToolFeatures[[#This Row],[FEATURE CODE]],2),FeatureTree[],2,FALSE)</f>
        <v>Data Profiling, Exploration/Pattern Detection</v>
      </c>
      <c r="G92" s="49" t="str">
        <f>VLOOKUP(LEFT(ToolFeatures[[#This Row],[FEATURE CODE]],5),FeatureTree[],2,FALSE)</f>
        <v>Relationship discovery</v>
      </c>
    </row>
    <row r="93" spans="1:7">
      <c r="A93" s="1" t="s">
        <v>148</v>
      </c>
      <c r="B93" s="1" t="s">
        <v>21</v>
      </c>
      <c r="C93" s="31" t="s">
        <v>24</v>
      </c>
      <c r="D93" s="49">
        <f>VLOOKUP(ToolFeatures[[#This Row],[FEATURE CODE]],FeatureTree[],5,FALSE)</f>
        <v>5</v>
      </c>
      <c r="E93" s="49" t="str">
        <f>VLOOKUP(ToolFeatures[[#This Row],[FEATURE CODE]],FeatureTree[],6,FALSE)</f>
        <v>Data profiling, measurement and visualization</v>
      </c>
      <c r="F93" s="49" t="str">
        <f>VLOOKUP(LEFT(ToolFeatures[[#This Row],[FEATURE CODE]],2),FeatureTree[],2,FALSE)</f>
        <v>Data Profiling, Exploration/Pattern Detection</v>
      </c>
      <c r="G93" s="49" t="str">
        <f>VLOOKUP(LEFT(ToolFeatures[[#This Row],[FEATURE CODE]],5),FeatureTree[],2,FALSE)</f>
        <v>Content discovery</v>
      </c>
    </row>
    <row r="94" spans="1:7">
      <c r="A94" s="1" t="s">
        <v>148</v>
      </c>
      <c r="B94" s="1" t="s">
        <v>22</v>
      </c>
      <c r="C94" s="31" t="s">
        <v>25</v>
      </c>
      <c r="D94" s="49">
        <f>VLOOKUP(ToolFeatures[[#This Row],[FEATURE CODE]],FeatureTree[],5,FALSE)</f>
        <v>5</v>
      </c>
      <c r="E94" s="49" t="str">
        <f>VLOOKUP(ToolFeatures[[#This Row],[FEATURE CODE]],FeatureTree[],6,FALSE)</f>
        <v>Data profiling, measurement and visualization</v>
      </c>
      <c r="F94" s="49" t="str">
        <f>VLOOKUP(LEFT(ToolFeatures[[#This Row],[FEATURE CODE]],2),FeatureTree[],2,FALSE)</f>
        <v>Data Profiling, Exploration/Pattern Detection</v>
      </c>
      <c r="G94" s="49" t="str">
        <f>VLOOKUP(LEFT(ToolFeatures[[#This Row],[FEATURE CODE]],5),FeatureTree[],2,FALSE)</f>
        <v>Content discovery</v>
      </c>
    </row>
    <row r="95" spans="1:7">
      <c r="A95" s="1" t="s">
        <v>148</v>
      </c>
      <c r="B95" s="1" t="s">
        <v>23</v>
      </c>
      <c r="C95" s="31" t="s">
        <v>26</v>
      </c>
      <c r="D95" s="49">
        <f>VLOOKUP(ToolFeatures[[#This Row],[FEATURE CODE]],FeatureTree[],5,FALSE)</f>
        <v>5</v>
      </c>
      <c r="E95" s="49" t="str">
        <f>VLOOKUP(ToolFeatures[[#This Row],[FEATURE CODE]],FeatureTree[],6,FALSE)</f>
        <v>Data profiling, measurement and visualization</v>
      </c>
      <c r="F95" s="49" t="str">
        <f>VLOOKUP(LEFT(ToolFeatures[[#This Row],[FEATURE CODE]],2),FeatureTree[],2,FALSE)</f>
        <v>Data Profiling, Exploration/Pattern Detection</v>
      </c>
      <c r="G95" s="49" t="str">
        <f>VLOOKUP(LEFT(ToolFeatures[[#This Row],[FEATURE CODE]],5),FeatureTree[],2,FALSE)</f>
        <v>Content discovery</v>
      </c>
    </row>
    <row r="96" spans="1:7" ht="30">
      <c r="A96" s="1" t="s">
        <v>148</v>
      </c>
      <c r="B96" s="1" t="s">
        <v>27</v>
      </c>
      <c r="C96" s="31" t="s">
        <v>30</v>
      </c>
      <c r="D96" s="49">
        <f>VLOOKUP(ToolFeatures[[#This Row],[FEATURE CODE]],FeatureTree[],5,FALSE)</f>
        <v>5</v>
      </c>
      <c r="E96" s="49" t="str">
        <f>VLOOKUP(ToolFeatures[[#This Row],[FEATURE CODE]],FeatureTree[],6,FALSE)</f>
        <v>Data profiling, measurement and visualization</v>
      </c>
      <c r="F96" s="49" t="str">
        <f>VLOOKUP(LEFT(ToolFeatures[[#This Row],[FEATURE CODE]],2),FeatureTree[],2,FALSE)</f>
        <v>Data Profiling, Exploration/Pattern Detection</v>
      </c>
      <c r="G96" s="49" t="str">
        <f>VLOOKUP(LEFT(ToolFeatures[[#This Row],[FEATURE CODE]],5),FeatureTree[],2,FALSE)</f>
        <v>Structure discovery</v>
      </c>
    </row>
    <row r="97" spans="1:7">
      <c r="A97" s="1" t="s">
        <v>148</v>
      </c>
      <c r="B97" s="1" t="s">
        <v>28</v>
      </c>
      <c r="C97" s="31" t="s">
        <v>31</v>
      </c>
      <c r="D97" s="49">
        <f>VLOOKUP(ToolFeatures[[#This Row],[FEATURE CODE]],FeatureTree[],5,FALSE)</f>
        <v>5</v>
      </c>
      <c r="E97" s="49" t="str">
        <f>VLOOKUP(ToolFeatures[[#This Row],[FEATURE CODE]],FeatureTree[],6,FALSE)</f>
        <v>Data profiling, measurement and visualization</v>
      </c>
      <c r="F97" s="49" t="str">
        <f>VLOOKUP(LEFT(ToolFeatures[[#This Row],[FEATURE CODE]],2),FeatureTree[],2,FALSE)</f>
        <v>Data Profiling, Exploration/Pattern Detection</v>
      </c>
      <c r="G97" s="49" t="str">
        <f>VLOOKUP(LEFT(ToolFeatures[[#This Row],[FEATURE CODE]],5),FeatureTree[],2,FALSE)</f>
        <v>Structure discovery</v>
      </c>
    </row>
    <row r="98" spans="1:7">
      <c r="A98" s="1" t="s">
        <v>148</v>
      </c>
      <c r="B98" s="1" t="s">
        <v>29</v>
      </c>
      <c r="C98" s="31" t="s">
        <v>32</v>
      </c>
      <c r="D98" s="49">
        <f>VLOOKUP(ToolFeatures[[#This Row],[FEATURE CODE]],FeatureTree[],5,FALSE)</f>
        <v>5</v>
      </c>
      <c r="E98" s="49" t="str">
        <f>VLOOKUP(ToolFeatures[[#This Row],[FEATURE CODE]],FeatureTree[],6,FALSE)</f>
        <v>Data profiling, measurement and visualization</v>
      </c>
      <c r="F98" s="49" t="str">
        <f>VLOOKUP(LEFT(ToolFeatures[[#This Row],[FEATURE CODE]],2),FeatureTree[],2,FALSE)</f>
        <v>Data Profiling, Exploration/Pattern Detection</v>
      </c>
      <c r="G98" s="49" t="str">
        <f>VLOOKUP(LEFT(ToolFeatures[[#This Row],[FEATURE CODE]],5),FeatureTree[],2,FALSE)</f>
        <v>Structure discovery</v>
      </c>
    </row>
    <row r="99" spans="1:7">
      <c r="A99" s="1" t="s">
        <v>148</v>
      </c>
      <c r="B99" s="1" t="s">
        <v>100</v>
      </c>
      <c r="C99" s="31" t="s">
        <v>97</v>
      </c>
      <c r="D99" s="49">
        <f>VLOOKUP(ToolFeatures[[#This Row],[FEATURE CODE]],FeatureTree[],5,FALSE)</f>
        <v>3</v>
      </c>
      <c r="E99" s="49" t="str">
        <f>VLOOKUP(ToolFeatures[[#This Row],[FEATURE CODE]],FeatureTree[],6,FALSE)</f>
        <v>Connectivity</v>
      </c>
      <c r="F99" s="49" t="str">
        <f>VLOOKUP(LEFT(ToolFeatures[[#This Row],[FEATURE CODE]],2),FeatureTree[],2,FALSE)</f>
        <v>Data Ingestion and Integration</v>
      </c>
      <c r="G99" s="49" t="str">
        <f>VLOOKUP(LEFT(ToolFeatures[[#This Row],[FEATURE CODE]],5),FeatureTree[],2,FALSE)</f>
        <v>Data Consolidation</v>
      </c>
    </row>
    <row r="100" spans="1:7">
      <c r="A100" s="1" t="s">
        <v>148</v>
      </c>
      <c r="B100" s="1" t="s">
        <v>58</v>
      </c>
      <c r="C100" s="31" t="s">
        <v>40</v>
      </c>
      <c r="D100" s="49">
        <f>VLOOKUP(ToolFeatures[[#This Row],[FEATURE CODE]],FeatureTree[],5,FALSE)</f>
        <v>5</v>
      </c>
      <c r="E100" s="49" t="str">
        <f>VLOOKUP(ToolFeatures[[#This Row],[FEATURE CODE]],FeatureTree[],6,FALSE)</f>
        <v>Standardization and cleansing</v>
      </c>
      <c r="F100" s="49" t="str">
        <f>VLOOKUP(LEFT(ToolFeatures[[#This Row],[FEATURE CODE]],2),FeatureTree[],2,FALSE)</f>
        <v>Data Preparation and Cleaning</v>
      </c>
      <c r="G100" s="49" t="str">
        <f>VLOOKUP(LEFT(ToolFeatures[[#This Row],[FEATURE CODE]],5),FeatureTree[],2,FALSE)</f>
        <v>Parsing and Standardization</v>
      </c>
    </row>
    <row r="101" spans="1:7">
      <c r="A101" s="1" t="s">
        <v>148</v>
      </c>
      <c r="B101" s="1" t="s">
        <v>79</v>
      </c>
      <c r="C101" s="31" t="s">
        <v>70</v>
      </c>
      <c r="D101" s="49">
        <f>VLOOKUP(ToolFeatures[[#This Row],[FEATURE CODE]],FeatureTree[],5,FALSE)</f>
        <v>5</v>
      </c>
      <c r="E101" s="49" t="str">
        <f>VLOOKUP(ToolFeatures[[#This Row],[FEATURE CODE]],FeatureTree[],6,FALSE)</f>
        <v>Data curation and enrichment</v>
      </c>
      <c r="F101" s="49" t="str">
        <f>VLOOKUP(LEFT(ToolFeatures[[#This Row],[FEATURE CODE]],2),FeatureTree[],2,FALSE)</f>
        <v>Data Preparation and Cleaning</v>
      </c>
      <c r="G101" s="49" t="str">
        <f>VLOOKUP(LEFT(ToolFeatures[[#This Row],[FEATURE CODE]],5),FeatureTree[],2,FALSE)</f>
        <v>Parsing and Standardization</v>
      </c>
    </row>
    <row r="102" spans="1:7">
      <c r="A102" s="1" t="s">
        <v>148</v>
      </c>
      <c r="B102" s="1" t="s">
        <v>68</v>
      </c>
      <c r="C102" s="31" t="s">
        <v>78</v>
      </c>
      <c r="D102" s="49">
        <f>VLOOKUP(ToolFeatures[[#This Row],[FEATURE CODE]],FeatureTree[],5,FALSE)</f>
        <v>5</v>
      </c>
      <c r="E102" s="49" t="str">
        <f>VLOOKUP(ToolFeatures[[#This Row],[FEATURE CODE]],FeatureTree[],6,FALSE)</f>
        <v>Data curation and enrichment</v>
      </c>
      <c r="F102" s="49" t="str">
        <f>VLOOKUP(LEFT(ToolFeatures[[#This Row],[FEATURE CODE]],2),FeatureTree[],2,FALSE)</f>
        <v>Data Preparation and Cleaning</v>
      </c>
      <c r="G102" s="49" t="str">
        <f>VLOOKUP(LEFT(ToolFeatures[[#This Row],[FEATURE CODE]],5),FeatureTree[],2,FALSE)</f>
        <v>Identity Resolution, Linkage, Merging &amp; Consolidation</v>
      </c>
    </row>
    <row r="103" spans="1:7">
      <c r="A103" s="1" t="s">
        <v>148</v>
      </c>
      <c r="B103" s="1" t="s">
        <v>71</v>
      </c>
      <c r="C103" s="31" t="s">
        <v>69</v>
      </c>
      <c r="D103" s="49">
        <f>VLOOKUP(ToolFeatures[[#This Row],[FEATURE CODE]],FeatureTree[],5,FALSE)</f>
        <v>5</v>
      </c>
      <c r="E103" s="49" t="str">
        <f>VLOOKUP(ToolFeatures[[#This Row],[FEATURE CODE]],FeatureTree[],6,FALSE)</f>
        <v>Matching, linking and merging</v>
      </c>
      <c r="F103" s="49" t="str">
        <f>VLOOKUP(LEFT(ToolFeatures[[#This Row],[FEATURE CODE]],2),FeatureTree[],2,FALSE)</f>
        <v>Data Preparation and Cleaning</v>
      </c>
      <c r="G103" s="49" t="str">
        <f>VLOOKUP(LEFT(ToolFeatures[[#This Row],[FEATURE CODE]],5),FeatureTree[],2,FALSE)</f>
        <v>Identity Resolution, Linkage, Merging &amp; Consolidation</v>
      </c>
    </row>
    <row r="104" spans="1:7">
      <c r="A104" s="1" t="s">
        <v>148</v>
      </c>
      <c r="B104" s="1" t="s">
        <v>72</v>
      </c>
      <c r="C104" s="31" t="s">
        <v>75</v>
      </c>
      <c r="D104" s="49">
        <f>VLOOKUP(ToolFeatures[[#This Row],[FEATURE CODE]],FeatureTree[],5,FALSE)</f>
        <v>5</v>
      </c>
      <c r="E104" s="49" t="str">
        <f>VLOOKUP(ToolFeatures[[#This Row],[FEATURE CODE]],FeatureTree[],6,FALSE)</f>
        <v>Matching, linking and merging</v>
      </c>
      <c r="F104" s="49" t="str">
        <f>VLOOKUP(LEFT(ToolFeatures[[#This Row],[FEATURE CODE]],2),FeatureTree[],2,FALSE)</f>
        <v>Data Preparation and Cleaning</v>
      </c>
      <c r="G104" s="49" t="str">
        <f>VLOOKUP(LEFT(ToolFeatures[[#This Row],[FEATURE CODE]],5),FeatureTree[],2,FALSE)</f>
        <v>Identity Resolution, Linkage, Merging &amp; Consolidation</v>
      </c>
    </row>
    <row r="105" spans="1:7">
      <c r="A105" s="1" t="s">
        <v>148</v>
      </c>
      <c r="B105" s="1" t="s">
        <v>73</v>
      </c>
      <c r="C105" s="31" t="s">
        <v>76</v>
      </c>
      <c r="D105" s="49">
        <f>VLOOKUP(ToolFeatures[[#This Row],[FEATURE CODE]],FeatureTree[],5,FALSE)</f>
        <v>5</v>
      </c>
      <c r="E105" s="49" t="str">
        <f>VLOOKUP(ToolFeatures[[#This Row],[FEATURE CODE]],FeatureTree[],6,FALSE)</f>
        <v>Matching, linking and merging</v>
      </c>
      <c r="F105" s="49" t="str">
        <f>VLOOKUP(LEFT(ToolFeatures[[#This Row],[FEATURE CODE]],2),FeatureTree[],2,FALSE)</f>
        <v>Data Preparation and Cleaning</v>
      </c>
      <c r="G105" s="49" t="str">
        <f>VLOOKUP(LEFT(ToolFeatures[[#This Row],[FEATURE CODE]],5),FeatureTree[],2,FALSE)</f>
        <v>Identity Resolution, Linkage, Merging &amp; Consolidation</v>
      </c>
    </row>
    <row r="106" spans="1:7">
      <c r="A106" s="1" t="s">
        <v>148</v>
      </c>
      <c r="B106" s="1" t="s">
        <v>74</v>
      </c>
      <c r="C106" s="31" t="s">
        <v>77</v>
      </c>
      <c r="D106" s="49">
        <f>VLOOKUP(ToolFeatures[[#This Row],[FEATURE CODE]],FeatureTree[],5,FALSE)</f>
        <v>5</v>
      </c>
      <c r="E106" s="49" t="str">
        <f>VLOOKUP(ToolFeatures[[#This Row],[FEATURE CODE]],FeatureTree[],6,FALSE)</f>
        <v>Matching, linking and merging</v>
      </c>
      <c r="F106" s="49" t="str">
        <f>VLOOKUP(LEFT(ToolFeatures[[#This Row],[FEATURE CODE]],2),FeatureTree[],2,FALSE)</f>
        <v>Data Preparation and Cleaning</v>
      </c>
      <c r="G106" s="49" t="str">
        <f>VLOOKUP(LEFT(ToolFeatures[[#This Row],[FEATURE CODE]],5),FeatureTree[],2,FALSE)</f>
        <v>Identity Resolution, Linkage, Merging &amp; Consolidation</v>
      </c>
    </row>
    <row r="107" spans="1:7">
      <c r="A107" s="1" t="s">
        <v>148</v>
      </c>
      <c r="B107" s="1" t="s">
        <v>203</v>
      </c>
      <c r="C107" s="31" t="s">
        <v>81</v>
      </c>
      <c r="D107" s="49">
        <f>VLOOKUP(ToolFeatures[[#This Row],[FEATURE CODE]],FeatureTree[],5,FALSE)</f>
        <v>5</v>
      </c>
      <c r="E107" s="49" t="str">
        <f>VLOOKUP(ToolFeatures[[#This Row],[FEATURE CODE]],FeatureTree[],6,FALSE)</f>
        <v>Metadata management</v>
      </c>
      <c r="F107" s="49" t="str">
        <f>VLOOKUP(LEFT(ToolFeatures[[#This Row],[FEATURE CODE]],2),FeatureTree[],2,FALSE)</f>
        <v>Data Use</v>
      </c>
      <c r="G107" s="49" t="str">
        <f>VLOOKUP(LEFT(ToolFeatures[[#This Row],[FEATURE CODE]],5),FeatureTree[],2,FALSE)</f>
        <v>Metadata Management</v>
      </c>
    </row>
    <row r="108" spans="1:7">
      <c r="A108" s="1" t="s">
        <v>148</v>
      </c>
      <c r="B108" s="1" t="s">
        <v>204</v>
      </c>
      <c r="C108" s="31" t="s">
        <v>82</v>
      </c>
      <c r="D108" s="49">
        <f>VLOOKUP(ToolFeatures[[#This Row],[FEATURE CODE]],FeatureTree[],5,FALSE)</f>
        <v>5</v>
      </c>
      <c r="E108" s="49" t="str">
        <f>VLOOKUP(ToolFeatures[[#This Row],[FEATURE CODE]],FeatureTree[],6,FALSE)</f>
        <v>Metadata management</v>
      </c>
      <c r="F108" s="49" t="str">
        <f>VLOOKUP(LEFT(ToolFeatures[[#This Row],[FEATURE CODE]],2),FeatureTree[],2,FALSE)</f>
        <v>Data Use</v>
      </c>
      <c r="G108" s="49" t="str">
        <f>VLOOKUP(LEFT(ToolFeatures[[#This Row],[FEATURE CODE]],5),FeatureTree[],2,FALSE)</f>
        <v>Metadata Management</v>
      </c>
    </row>
    <row r="109" spans="1:7">
      <c r="A109" s="1" t="s">
        <v>148</v>
      </c>
      <c r="B109" s="1" t="s">
        <v>208</v>
      </c>
      <c r="C109" s="31" t="s">
        <v>86</v>
      </c>
      <c r="D109" s="49">
        <f>VLOOKUP(ToolFeatures[[#This Row],[FEATURE CODE]],FeatureTree[],5,FALSE)</f>
        <v>5</v>
      </c>
      <c r="E109" s="49" t="str">
        <f>VLOOKUP(ToolFeatures[[#This Row],[FEATURE CODE]],FeatureTree[],6,FALSE)</f>
        <v>Metadata management</v>
      </c>
      <c r="F109" s="49" t="str">
        <f>VLOOKUP(LEFT(ToolFeatures[[#This Row],[FEATURE CODE]],2),FeatureTree[],2,FALSE)</f>
        <v>Data Use</v>
      </c>
      <c r="G109" s="49" t="str">
        <f>VLOOKUP(LEFT(ToolFeatures[[#This Row],[FEATURE CODE]],5),FeatureTree[],2,FALSE)</f>
        <v>Metadata Management</v>
      </c>
    </row>
    <row r="110" spans="1:7">
      <c r="A110" s="1" t="s">
        <v>148</v>
      </c>
      <c r="B110" s="1" t="s">
        <v>233</v>
      </c>
      <c r="C110" s="31" t="s">
        <v>238</v>
      </c>
      <c r="D110" s="49">
        <f>VLOOKUP(ToolFeatures[[#This Row],[FEATURE CODE]],FeatureTree[],5,FALSE)</f>
        <v>5</v>
      </c>
      <c r="E110" s="49" t="str">
        <f>VLOOKUP(ToolFeatures[[#This Row],[FEATURE CODE]],FeatureTree[],6,FALSE)</f>
        <v>Usability</v>
      </c>
      <c r="F110" s="49" t="str">
        <f>VLOOKUP(LEFT(ToolFeatures[[#This Row],[FEATURE CODE]],2),FeatureTree[],2,FALSE)</f>
        <v>Data Use</v>
      </c>
      <c r="G110" s="49" t="str">
        <f>VLOOKUP(LEFT(ToolFeatures[[#This Row],[FEATURE CODE]],5),FeatureTree[],2,FALSE)</f>
        <v>Data Mining</v>
      </c>
    </row>
    <row r="111" spans="1:7">
      <c r="A111" s="1" t="s">
        <v>150</v>
      </c>
      <c r="B111" s="1" t="s">
        <v>102</v>
      </c>
      <c r="C111" s="31" t="s">
        <v>99</v>
      </c>
      <c r="D111" s="49">
        <f>VLOOKUP(ToolFeatures[[#This Row],[FEATURE CODE]],FeatureTree[],5,FALSE)</f>
        <v>5</v>
      </c>
      <c r="E111" s="49" t="str">
        <f>VLOOKUP(ToolFeatures[[#This Row],[FEATURE CODE]],FeatureTree[],6,FALSE)</f>
        <v>Connectivity</v>
      </c>
      <c r="F111" s="49" t="str">
        <f>VLOOKUP(LEFT(ToolFeatures[[#This Row],[FEATURE CODE]],2),FeatureTree[],2,FALSE)</f>
        <v>Data Ingestion and Integration</v>
      </c>
      <c r="G111" s="49" t="str">
        <f>VLOOKUP(LEFT(ToolFeatures[[#This Row],[FEATURE CODE]],5),FeatureTree[],2,FALSE)</f>
        <v>Data Consolidation</v>
      </c>
    </row>
    <row r="112" spans="1:7">
      <c r="A112" s="1" t="s">
        <v>150</v>
      </c>
      <c r="B112" s="1" t="s">
        <v>211</v>
      </c>
      <c r="C112" s="31" t="s">
        <v>124</v>
      </c>
      <c r="D112" s="49">
        <f>VLOOKUP(ToolFeatures[[#This Row],[FEATURE CODE]],FeatureTree[],5,FALSE)</f>
        <v>5</v>
      </c>
      <c r="E112" s="49" t="str">
        <f>VLOOKUP(ToolFeatures[[#This Row],[FEATURE CODE]],FeatureTree[],6,FALSE)</f>
        <v>Usability</v>
      </c>
      <c r="F112" s="49" t="str">
        <f>VLOOKUP(LEFT(ToolFeatures[[#This Row],[FEATURE CODE]],2),FeatureTree[],2,FALSE)</f>
        <v>Data Use</v>
      </c>
      <c r="G112" s="49" t="str">
        <f>VLOOKUP(LEFT(ToolFeatures[[#This Row],[FEATURE CODE]],5),FeatureTree[],2,FALSE)</f>
        <v>Privacy &amp; Security</v>
      </c>
    </row>
    <row r="113" spans="1:7">
      <c r="A113" s="1" t="s">
        <v>263</v>
      </c>
      <c r="B113" s="1" t="s">
        <v>102</v>
      </c>
      <c r="C113" s="31" t="s">
        <v>99</v>
      </c>
      <c r="D113" s="49">
        <f>VLOOKUP(ToolFeatures[[#This Row],[FEATURE CODE]],FeatureTree[],5,FALSE)</f>
        <v>5</v>
      </c>
      <c r="E113" s="49" t="str">
        <f>VLOOKUP(ToolFeatures[[#This Row],[FEATURE CODE]],FeatureTree[],6,FALSE)</f>
        <v>Connectivity</v>
      </c>
      <c r="F113" s="49" t="str">
        <f>VLOOKUP(LEFT(ToolFeatures[[#This Row],[FEATURE CODE]],2),FeatureTree[],2,FALSE)</f>
        <v>Data Ingestion and Integration</v>
      </c>
      <c r="G113" s="49" t="str">
        <f>VLOOKUP(LEFT(ToolFeatures[[#This Row],[FEATURE CODE]],5),FeatureTree[],2,FALSE)</f>
        <v>Data Consolidation</v>
      </c>
    </row>
    <row r="114" spans="1:7">
      <c r="A114" s="1" t="s">
        <v>263</v>
      </c>
      <c r="B114" s="1" t="s">
        <v>59</v>
      </c>
      <c r="C114" s="31" t="s">
        <v>41</v>
      </c>
      <c r="D114" s="49">
        <f>VLOOKUP(ToolFeatures[[#This Row],[FEATURE CODE]],FeatureTree[],5,FALSE)</f>
        <v>5</v>
      </c>
      <c r="E114" s="49" t="str">
        <f>VLOOKUP(ToolFeatures[[#This Row],[FEATURE CODE]],FeatureTree[],6,FALSE)</f>
        <v>Standardization and cleansing</v>
      </c>
      <c r="F114" s="49" t="str">
        <f>VLOOKUP(LEFT(ToolFeatures[[#This Row],[FEATURE CODE]],2),FeatureTree[],2,FALSE)</f>
        <v>Data Preparation and Cleaning</v>
      </c>
      <c r="G114" s="49" t="str">
        <f>VLOOKUP(LEFT(ToolFeatures[[#This Row],[FEATURE CODE]],5),FeatureTree[],2,FALSE)</f>
        <v>Parsing and Standardization</v>
      </c>
    </row>
    <row r="115" spans="1:7">
      <c r="A115" s="1" t="s">
        <v>263</v>
      </c>
      <c r="B115" s="1" t="s">
        <v>79</v>
      </c>
      <c r="C115" s="31" t="s">
        <v>70</v>
      </c>
      <c r="D115" s="49">
        <f>VLOOKUP(ToolFeatures[[#This Row],[FEATURE CODE]],FeatureTree[],5,FALSE)</f>
        <v>5</v>
      </c>
      <c r="E115" s="49" t="str">
        <f>VLOOKUP(ToolFeatures[[#This Row],[FEATURE CODE]],FeatureTree[],6,FALSE)</f>
        <v>Data curation and enrichment</v>
      </c>
      <c r="F115" s="49" t="str">
        <f>VLOOKUP(LEFT(ToolFeatures[[#This Row],[FEATURE CODE]],2),FeatureTree[],2,FALSE)</f>
        <v>Data Preparation and Cleaning</v>
      </c>
      <c r="G115" s="49" t="str">
        <f>VLOOKUP(LEFT(ToolFeatures[[#This Row],[FEATURE CODE]],5),FeatureTree[],2,FALSE)</f>
        <v>Parsing and Standardization</v>
      </c>
    </row>
    <row r="116" spans="1:7">
      <c r="A116" s="1" t="s">
        <v>263</v>
      </c>
      <c r="B116" s="1" t="s">
        <v>211</v>
      </c>
      <c r="C116" s="31" t="s">
        <v>124</v>
      </c>
      <c r="D116" s="49">
        <f>VLOOKUP(ToolFeatures[[#This Row],[FEATURE CODE]],FeatureTree[],5,FALSE)</f>
        <v>5</v>
      </c>
      <c r="E116" s="49" t="str">
        <f>VLOOKUP(ToolFeatures[[#This Row],[FEATURE CODE]],FeatureTree[],6,FALSE)</f>
        <v>Usability</v>
      </c>
      <c r="F116" s="49" t="str">
        <f>VLOOKUP(LEFT(ToolFeatures[[#This Row],[FEATURE CODE]],2),FeatureTree[],2,FALSE)</f>
        <v>Data Use</v>
      </c>
      <c r="G116" s="49" t="str">
        <f>VLOOKUP(LEFT(ToolFeatures[[#This Row],[FEATURE CODE]],5),FeatureTree[],2,FALSE)</f>
        <v>Privacy &amp; Security</v>
      </c>
    </row>
    <row r="117" spans="1:7">
      <c r="A117" s="1" t="s">
        <v>263</v>
      </c>
      <c r="B117" s="1" t="s">
        <v>231</v>
      </c>
      <c r="C117" s="31" t="s">
        <v>232</v>
      </c>
      <c r="D117" s="49">
        <f>VLOOKUP(ToolFeatures[[#This Row],[FEATURE CODE]],FeatureTree[],5,FALSE)</f>
        <v>5</v>
      </c>
      <c r="E117" s="49" t="str">
        <f>VLOOKUP(ToolFeatures[[#This Row],[FEATURE CODE]],FeatureTree[],6,FALSE)</f>
        <v>Usability</v>
      </c>
      <c r="F117" s="49" t="str">
        <f>VLOOKUP(LEFT(ToolFeatures[[#This Row],[FEATURE CODE]],2),FeatureTree[],2,FALSE)</f>
        <v>Data Use</v>
      </c>
      <c r="G117" s="49" t="str">
        <f>VLOOKUP(LEFT(ToolFeatures[[#This Row],[FEATURE CODE]],5),FeatureTree[],2,FALSE)</f>
        <v>Data Mining</v>
      </c>
    </row>
    <row r="118" spans="1:7" ht="30">
      <c r="A118" s="1" t="s">
        <v>87</v>
      </c>
      <c r="B118" s="1" t="s">
        <v>27</v>
      </c>
      <c r="C118" s="31" t="s">
        <v>30</v>
      </c>
      <c r="D118" s="49">
        <f>VLOOKUP(ToolFeatures[[#This Row],[FEATURE CODE]],FeatureTree[],5,FALSE)</f>
        <v>5</v>
      </c>
      <c r="E118" s="49" t="str">
        <f>VLOOKUP(ToolFeatures[[#This Row],[FEATURE CODE]],FeatureTree[],6,FALSE)</f>
        <v>Data profiling, measurement and visualization</v>
      </c>
      <c r="F118" s="49" t="str">
        <f>VLOOKUP(LEFT(ToolFeatures[[#This Row],[FEATURE CODE]],2),FeatureTree[],2,FALSE)</f>
        <v>Data Profiling, Exploration/Pattern Detection</v>
      </c>
      <c r="G118" s="49" t="str">
        <f>VLOOKUP(LEFT(ToolFeatures[[#This Row],[FEATURE CODE]],5),FeatureTree[],2,FALSE)</f>
        <v>Structure discovery</v>
      </c>
    </row>
    <row r="119" spans="1:7">
      <c r="A119" s="1" t="s">
        <v>87</v>
      </c>
      <c r="B119" s="1" t="s">
        <v>102</v>
      </c>
      <c r="C119" s="31" t="s">
        <v>99</v>
      </c>
      <c r="D119" s="49">
        <f>VLOOKUP(ToolFeatures[[#This Row],[FEATURE CODE]],FeatureTree[],5,FALSE)</f>
        <v>5</v>
      </c>
      <c r="E119" s="49" t="str">
        <f>VLOOKUP(ToolFeatures[[#This Row],[FEATURE CODE]],FeatureTree[],6,FALSE)</f>
        <v>Connectivity</v>
      </c>
      <c r="F119" s="49" t="str">
        <f>VLOOKUP(LEFT(ToolFeatures[[#This Row],[FEATURE CODE]],2),FeatureTree[],2,FALSE)</f>
        <v>Data Ingestion and Integration</v>
      </c>
      <c r="G119" s="49" t="str">
        <f>VLOOKUP(LEFT(ToolFeatures[[#This Row],[FEATURE CODE]],5),FeatureTree[],2,FALSE)</f>
        <v>Data Consolidation</v>
      </c>
    </row>
    <row r="120" spans="1:7">
      <c r="A120" s="1" t="s">
        <v>87</v>
      </c>
      <c r="B120" s="1" t="s">
        <v>34</v>
      </c>
      <c r="C120" s="31" t="s">
        <v>36</v>
      </c>
      <c r="D120" s="49">
        <f>VLOOKUP(ToolFeatures[[#This Row],[FEATURE CODE]],FeatureTree[],5,FALSE)</f>
        <v>5</v>
      </c>
      <c r="E120" s="49" t="str">
        <f>VLOOKUP(ToolFeatures[[#This Row],[FEATURE CODE]],FeatureTree[],6,FALSE)</f>
        <v>Architecture and integration</v>
      </c>
      <c r="F120" s="49" t="str">
        <f>VLOOKUP(LEFT(ToolFeatures[[#This Row],[FEATURE CODE]],2),FeatureTree[],2,FALSE)</f>
        <v>Data Ingestion and Integration</v>
      </c>
      <c r="G120" s="49" t="str">
        <f>VLOOKUP(LEFT(ToolFeatures[[#This Row],[FEATURE CODE]],5),FeatureTree[],2,FALSE)</f>
        <v>Data Consolidation</v>
      </c>
    </row>
    <row r="121" spans="1:7">
      <c r="A121" s="1" t="s">
        <v>87</v>
      </c>
      <c r="B121" s="1" t="s">
        <v>54</v>
      </c>
      <c r="C121" s="31" t="s">
        <v>38</v>
      </c>
      <c r="D121" s="49">
        <f>VLOOKUP(ToolFeatures[[#This Row],[FEATURE CODE]],FeatureTree[],5,FALSE)</f>
        <v>5</v>
      </c>
      <c r="E121" s="49" t="str">
        <f>VLOOKUP(ToolFeatures[[#This Row],[FEATURE CODE]],FeatureTree[],6,FALSE)</f>
        <v>Connectivity</v>
      </c>
      <c r="F121" s="49" t="str">
        <f>VLOOKUP(LEFT(ToolFeatures[[#This Row],[FEATURE CODE]],2),FeatureTree[],2,FALSE)</f>
        <v>Data Ingestion and Integration</v>
      </c>
      <c r="G121" s="49" t="str">
        <f>VLOOKUP(LEFT(ToolFeatures[[#This Row],[FEATURE CODE]],5),FeatureTree[],2,FALSE)</f>
        <v>Data Virtualization</v>
      </c>
    </row>
    <row r="122" spans="1:7">
      <c r="A122" s="1" t="s">
        <v>87</v>
      </c>
      <c r="B122" s="1" t="s">
        <v>56</v>
      </c>
      <c r="C122" s="31" t="s">
        <v>39</v>
      </c>
      <c r="D122" s="49">
        <f>VLOOKUP(ToolFeatures[[#This Row],[FEATURE CODE]],FeatureTree[],5,FALSE)</f>
        <v>5</v>
      </c>
      <c r="E122" s="49" t="str">
        <f>VLOOKUP(ToolFeatures[[#This Row],[FEATURE CODE]],FeatureTree[],6,FALSE)</f>
        <v>Issue resolution and workflow</v>
      </c>
      <c r="F122" s="49" t="str">
        <f>VLOOKUP(LEFT(ToolFeatures[[#This Row],[FEATURE CODE]],2),FeatureTree[],2,FALSE)</f>
        <v>Data Ingestion and Integration</v>
      </c>
      <c r="G122" s="49" t="str">
        <f>VLOOKUP(LEFT(ToolFeatures[[#This Row],[FEATURE CODE]],5),FeatureTree[],2,FALSE)</f>
        <v>Data Federation</v>
      </c>
    </row>
    <row r="123" spans="1:7">
      <c r="A123" s="1" t="s">
        <v>87</v>
      </c>
      <c r="B123" s="1" t="s">
        <v>231</v>
      </c>
      <c r="C123" s="31" t="s">
        <v>232</v>
      </c>
      <c r="D123" s="49">
        <f>VLOOKUP(ToolFeatures[[#This Row],[FEATURE CODE]],FeatureTree[],5,FALSE)</f>
        <v>5</v>
      </c>
      <c r="E123" s="49" t="str">
        <f>VLOOKUP(ToolFeatures[[#This Row],[FEATURE CODE]],FeatureTree[],6,FALSE)</f>
        <v>Usability</v>
      </c>
      <c r="F123" s="49" t="str">
        <f>VLOOKUP(LEFT(ToolFeatures[[#This Row],[FEATURE CODE]],2),FeatureTree[],2,FALSE)</f>
        <v>Data Use</v>
      </c>
      <c r="G123" s="49" t="str">
        <f>VLOOKUP(LEFT(ToolFeatures[[#This Row],[FEATURE CODE]],5),FeatureTree[],2,FALSE)</f>
        <v>Data Mining</v>
      </c>
    </row>
    <row r="124" spans="1:7">
      <c r="A124" s="1" t="s">
        <v>87</v>
      </c>
      <c r="B124" s="1" t="s">
        <v>236</v>
      </c>
      <c r="C124" s="31" t="s">
        <v>90</v>
      </c>
      <c r="D124" s="49">
        <f>VLOOKUP(ToolFeatures[[#This Row],[FEATURE CODE]],FeatureTree[],5,FALSE)</f>
        <v>5</v>
      </c>
      <c r="E124" s="49" t="str">
        <f>VLOOKUP(ToolFeatures[[#This Row],[FEATURE CODE]],FeatureTree[],6,FALSE)</f>
        <v>Usability</v>
      </c>
      <c r="F124" s="49" t="str">
        <f>VLOOKUP(LEFT(ToolFeatures[[#This Row],[FEATURE CODE]],2),FeatureTree[],2,FALSE)</f>
        <v>Data Use</v>
      </c>
      <c r="G124" s="49" t="str">
        <f>VLOOKUP(LEFT(ToolFeatures[[#This Row],[FEATURE CODE]],5),FeatureTree[],2,FALSE)</f>
        <v>Data Mining</v>
      </c>
    </row>
    <row r="125" spans="1:7">
      <c r="A125" s="1" t="s">
        <v>87</v>
      </c>
      <c r="B125" s="1" t="s">
        <v>127</v>
      </c>
      <c r="C125" s="31" t="s">
        <v>129</v>
      </c>
      <c r="D125" s="49">
        <f>VLOOKUP(ToolFeatures[[#This Row],[FEATURE CODE]],FeatureTree[],5,FALSE)</f>
        <v>5</v>
      </c>
      <c r="E125" s="49" t="str">
        <f>VLOOKUP(ToolFeatures[[#This Row],[FEATURE CODE]],FeatureTree[],6,FALSE)</f>
        <v>Monitoring</v>
      </c>
      <c r="F125" s="49" t="str">
        <f>VLOOKUP(LEFT(ToolFeatures[[#This Row],[FEATURE CODE]],2),FeatureTree[],2,FALSE)</f>
        <v>Data Monitoring</v>
      </c>
      <c r="G125" s="49" t="str">
        <f>VLOOKUP(LEFT(ToolFeatures[[#This Row],[FEATURE CODE]],5),FeatureTree[],2,FALSE)</f>
        <v>Monitoring &amp; Alerting</v>
      </c>
    </row>
    <row r="126" spans="1:7">
      <c r="A126" s="1" t="s">
        <v>191</v>
      </c>
      <c r="B126" s="1" t="s">
        <v>17</v>
      </c>
      <c r="C126" s="31" t="s">
        <v>16</v>
      </c>
      <c r="D126" s="49">
        <f>VLOOKUP(ToolFeatures[[#This Row],[FEATURE CODE]],FeatureTree[],5,FALSE)</f>
        <v>5</v>
      </c>
      <c r="E126" s="49" t="str">
        <f>VLOOKUP(ToolFeatures[[#This Row],[FEATURE CODE]],FeatureTree[],6,FALSE)</f>
        <v>Data profiling, measurement and visualization</v>
      </c>
      <c r="F126" s="49" t="str">
        <f>VLOOKUP(LEFT(ToolFeatures[[#This Row],[FEATURE CODE]],2),FeatureTree[],2,FALSE)</f>
        <v>Data Profiling, Exploration/Pattern Detection</v>
      </c>
      <c r="G126" s="49" t="str">
        <f>VLOOKUP(LEFT(ToolFeatures[[#This Row],[FEATURE CODE]],5),FeatureTree[],2,FALSE)</f>
        <v>Relationship discovery</v>
      </c>
    </row>
    <row r="127" spans="1:7">
      <c r="A127" s="1" t="s">
        <v>191</v>
      </c>
      <c r="B127" s="1" t="s">
        <v>18</v>
      </c>
      <c r="C127" s="31" t="s">
        <v>164</v>
      </c>
      <c r="D127" s="49">
        <f>VLOOKUP(ToolFeatures[[#This Row],[FEATURE CODE]],FeatureTree[],5,FALSE)</f>
        <v>5</v>
      </c>
      <c r="E127" s="49" t="str">
        <f>VLOOKUP(ToolFeatures[[#This Row],[FEATURE CODE]],FeatureTree[],6,FALSE)</f>
        <v>Data profiling, measurement and visualization</v>
      </c>
      <c r="F127" s="49" t="str">
        <f>VLOOKUP(LEFT(ToolFeatures[[#This Row],[FEATURE CODE]],2),FeatureTree[],2,FALSE)</f>
        <v>Data Profiling, Exploration/Pattern Detection</v>
      </c>
      <c r="G127" s="49" t="str">
        <f>VLOOKUP(LEFT(ToolFeatures[[#This Row],[FEATURE CODE]],5),FeatureTree[],2,FALSE)</f>
        <v>Relationship discovery</v>
      </c>
    </row>
    <row r="128" spans="1:7" ht="30">
      <c r="A128" s="1" t="s">
        <v>191</v>
      </c>
      <c r="B128" s="1" t="s">
        <v>19</v>
      </c>
      <c r="C128" s="31" t="s">
        <v>20</v>
      </c>
      <c r="D128" s="49">
        <f>VLOOKUP(ToolFeatures[[#This Row],[FEATURE CODE]],FeatureTree[],5,FALSE)</f>
        <v>5</v>
      </c>
      <c r="E128" s="49" t="str">
        <f>VLOOKUP(ToolFeatures[[#This Row],[FEATURE CODE]],FeatureTree[],6,FALSE)</f>
        <v>Data profiling, measurement and visualization</v>
      </c>
      <c r="F128" s="49" t="str">
        <f>VLOOKUP(LEFT(ToolFeatures[[#This Row],[FEATURE CODE]],2),FeatureTree[],2,FALSE)</f>
        <v>Data Profiling, Exploration/Pattern Detection</v>
      </c>
      <c r="G128" s="49" t="str">
        <f>VLOOKUP(LEFT(ToolFeatures[[#This Row],[FEATURE CODE]],5),FeatureTree[],2,FALSE)</f>
        <v>Relationship discovery</v>
      </c>
    </row>
    <row r="129" spans="1:7">
      <c r="A129" s="1" t="s">
        <v>191</v>
      </c>
      <c r="B129" s="1" t="s">
        <v>23</v>
      </c>
      <c r="C129" s="31" t="s">
        <v>26</v>
      </c>
      <c r="D129" s="49">
        <f>VLOOKUP(ToolFeatures[[#This Row],[FEATURE CODE]],FeatureTree[],5,FALSE)</f>
        <v>5</v>
      </c>
      <c r="E129" s="49" t="str">
        <f>VLOOKUP(ToolFeatures[[#This Row],[FEATURE CODE]],FeatureTree[],6,FALSE)</f>
        <v>Data profiling, measurement and visualization</v>
      </c>
      <c r="F129" s="49" t="str">
        <f>VLOOKUP(LEFT(ToolFeatures[[#This Row],[FEATURE CODE]],2),FeatureTree[],2,FALSE)</f>
        <v>Data Profiling, Exploration/Pattern Detection</v>
      </c>
      <c r="G129" s="49" t="str">
        <f>VLOOKUP(LEFT(ToolFeatures[[#This Row],[FEATURE CODE]],5),FeatureTree[],2,FALSE)</f>
        <v>Content discovery</v>
      </c>
    </row>
    <row r="130" spans="1:7" ht="30">
      <c r="A130" s="1" t="s">
        <v>191</v>
      </c>
      <c r="B130" s="1" t="s">
        <v>27</v>
      </c>
      <c r="C130" s="31" t="s">
        <v>30</v>
      </c>
      <c r="D130" s="49">
        <f>VLOOKUP(ToolFeatures[[#This Row],[FEATURE CODE]],FeatureTree[],5,FALSE)</f>
        <v>5</v>
      </c>
      <c r="E130" s="49" t="str">
        <f>VLOOKUP(ToolFeatures[[#This Row],[FEATURE CODE]],FeatureTree[],6,FALSE)</f>
        <v>Data profiling, measurement and visualization</v>
      </c>
      <c r="F130" s="49" t="str">
        <f>VLOOKUP(LEFT(ToolFeatures[[#This Row],[FEATURE CODE]],2),FeatureTree[],2,FALSE)</f>
        <v>Data Profiling, Exploration/Pattern Detection</v>
      </c>
      <c r="G130" s="49" t="str">
        <f>VLOOKUP(LEFT(ToolFeatures[[#This Row],[FEATURE CODE]],5),FeatureTree[],2,FALSE)</f>
        <v>Structure discovery</v>
      </c>
    </row>
    <row r="131" spans="1:7">
      <c r="A131" s="1" t="s">
        <v>191</v>
      </c>
      <c r="B131" s="1" t="s">
        <v>28</v>
      </c>
      <c r="C131" s="31" t="s">
        <v>31</v>
      </c>
      <c r="D131" s="49">
        <f>VLOOKUP(ToolFeatures[[#This Row],[FEATURE CODE]],FeatureTree[],5,FALSE)</f>
        <v>5</v>
      </c>
      <c r="E131" s="49" t="str">
        <f>VLOOKUP(ToolFeatures[[#This Row],[FEATURE CODE]],FeatureTree[],6,FALSE)</f>
        <v>Data profiling, measurement and visualization</v>
      </c>
      <c r="F131" s="49" t="str">
        <f>VLOOKUP(LEFT(ToolFeatures[[#This Row],[FEATURE CODE]],2),FeatureTree[],2,FALSE)</f>
        <v>Data Profiling, Exploration/Pattern Detection</v>
      </c>
      <c r="G131" s="49" t="str">
        <f>VLOOKUP(LEFT(ToolFeatures[[#This Row],[FEATURE CODE]],5),FeatureTree[],2,FALSE)</f>
        <v>Structure discovery</v>
      </c>
    </row>
    <row r="132" spans="1:7">
      <c r="A132" s="1" t="s">
        <v>191</v>
      </c>
      <c r="B132" s="1" t="s">
        <v>29</v>
      </c>
      <c r="C132" s="31" t="s">
        <v>32</v>
      </c>
      <c r="D132" s="49">
        <f>VLOOKUP(ToolFeatures[[#This Row],[FEATURE CODE]],FeatureTree[],5,FALSE)</f>
        <v>5</v>
      </c>
      <c r="E132" s="49" t="str">
        <f>VLOOKUP(ToolFeatures[[#This Row],[FEATURE CODE]],FeatureTree[],6,FALSE)</f>
        <v>Data profiling, measurement and visualization</v>
      </c>
      <c r="F132" s="49" t="str">
        <f>VLOOKUP(LEFT(ToolFeatures[[#This Row],[FEATURE CODE]],2),FeatureTree[],2,FALSE)</f>
        <v>Data Profiling, Exploration/Pattern Detection</v>
      </c>
      <c r="G132" s="49" t="str">
        <f>VLOOKUP(LEFT(ToolFeatures[[#This Row],[FEATURE CODE]],5),FeatureTree[],2,FALSE)</f>
        <v>Structure discovery</v>
      </c>
    </row>
    <row r="133" spans="1:7">
      <c r="A133" s="1" t="s">
        <v>191</v>
      </c>
      <c r="B133" s="1" t="s">
        <v>102</v>
      </c>
      <c r="C133" s="31" t="s">
        <v>99</v>
      </c>
      <c r="D133" s="49">
        <f>VLOOKUP(ToolFeatures[[#This Row],[FEATURE CODE]],FeatureTree[],5,FALSE)</f>
        <v>5</v>
      </c>
      <c r="E133" s="49" t="str">
        <f>VLOOKUP(ToolFeatures[[#This Row],[FEATURE CODE]],FeatureTree[],6,FALSE)</f>
        <v>Connectivity</v>
      </c>
      <c r="F133" s="49" t="str">
        <f>VLOOKUP(LEFT(ToolFeatures[[#This Row],[FEATURE CODE]],2),FeatureTree[],2,FALSE)</f>
        <v>Data Ingestion and Integration</v>
      </c>
      <c r="G133" s="49" t="str">
        <f>VLOOKUP(LEFT(ToolFeatures[[#This Row],[FEATURE CODE]],5),FeatureTree[],2,FALSE)</f>
        <v>Data Consolidation</v>
      </c>
    </row>
    <row r="134" spans="1:7">
      <c r="A134" s="1" t="s">
        <v>191</v>
      </c>
      <c r="B134" s="1" t="s">
        <v>60</v>
      </c>
      <c r="C134" s="31" t="s">
        <v>42</v>
      </c>
      <c r="D134" s="49">
        <f>VLOOKUP(ToolFeatures[[#This Row],[FEATURE CODE]],FeatureTree[],5,FALSE)</f>
        <v>5</v>
      </c>
      <c r="E134" s="49" t="str">
        <f>VLOOKUP(ToolFeatures[[#This Row],[FEATURE CODE]],FeatureTree[],6,FALSE)</f>
        <v>Data curation and enrichment</v>
      </c>
      <c r="F134" s="49" t="str">
        <f>VLOOKUP(LEFT(ToolFeatures[[#This Row],[FEATURE CODE]],2),FeatureTree[],2,FALSE)</f>
        <v>Data Preparation and Cleaning</v>
      </c>
      <c r="G134" s="49" t="str">
        <f>VLOOKUP(LEFT(ToolFeatures[[#This Row],[FEATURE CODE]],5),FeatureTree[],2,FALSE)</f>
        <v>Parsing and Standardization</v>
      </c>
    </row>
    <row r="135" spans="1:7">
      <c r="A135" s="1" t="s">
        <v>191</v>
      </c>
      <c r="B135" s="1" t="s">
        <v>62</v>
      </c>
      <c r="C135" s="31" t="s">
        <v>44</v>
      </c>
      <c r="D135" s="49">
        <f>VLOOKUP(ToolFeatures[[#This Row],[FEATURE CODE]],FeatureTree[],5,FALSE)</f>
        <v>5</v>
      </c>
      <c r="E135" s="49" t="str">
        <f>VLOOKUP(ToolFeatures[[#This Row],[FEATURE CODE]],FeatureTree[],6,FALSE)</f>
        <v>Address validation / geocoding</v>
      </c>
      <c r="F135" s="49" t="str">
        <f>VLOOKUP(LEFT(ToolFeatures[[#This Row],[FEATURE CODE]],2),FeatureTree[],2,FALSE)</f>
        <v>Data Preparation and Cleaning</v>
      </c>
      <c r="G135" s="49" t="str">
        <f>VLOOKUP(LEFT(ToolFeatures[[#This Row],[FEATURE CODE]],5),FeatureTree[],2,FALSE)</f>
        <v>Parsing and Standardization</v>
      </c>
    </row>
    <row r="136" spans="1:7">
      <c r="A136" s="1" t="s">
        <v>191</v>
      </c>
      <c r="B136" s="1" t="s">
        <v>79</v>
      </c>
      <c r="C136" s="31" t="s">
        <v>70</v>
      </c>
      <c r="D136" s="49">
        <f>VLOOKUP(ToolFeatures[[#This Row],[FEATURE CODE]],FeatureTree[],5,FALSE)</f>
        <v>5</v>
      </c>
      <c r="E136" s="49" t="str">
        <f>VLOOKUP(ToolFeatures[[#This Row],[FEATURE CODE]],FeatureTree[],6,FALSE)</f>
        <v>Data curation and enrichment</v>
      </c>
      <c r="F136" s="49" t="str">
        <f>VLOOKUP(LEFT(ToolFeatures[[#This Row],[FEATURE CODE]],2),FeatureTree[],2,FALSE)</f>
        <v>Data Preparation and Cleaning</v>
      </c>
      <c r="G136" s="49" t="str">
        <f>VLOOKUP(LEFT(ToolFeatures[[#This Row],[FEATURE CODE]],5),FeatureTree[],2,FALSE)</f>
        <v>Parsing and Standardization</v>
      </c>
    </row>
    <row r="137" spans="1:7">
      <c r="A137" s="1" t="s">
        <v>191</v>
      </c>
      <c r="B137" s="1" t="s">
        <v>71</v>
      </c>
      <c r="C137" s="31" t="s">
        <v>69</v>
      </c>
      <c r="D137" s="49">
        <f>VLOOKUP(ToolFeatures[[#This Row],[FEATURE CODE]],FeatureTree[],5,FALSE)</f>
        <v>5</v>
      </c>
      <c r="E137" s="49" t="str">
        <f>VLOOKUP(ToolFeatures[[#This Row],[FEATURE CODE]],FeatureTree[],6,FALSE)</f>
        <v>Matching, linking and merging</v>
      </c>
      <c r="F137" s="49" t="str">
        <f>VLOOKUP(LEFT(ToolFeatures[[#This Row],[FEATURE CODE]],2),FeatureTree[],2,FALSE)</f>
        <v>Data Preparation and Cleaning</v>
      </c>
      <c r="G137" s="49" t="str">
        <f>VLOOKUP(LEFT(ToolFeatures[[#This Row],[FEATURE CODE]],5),FeatureTree[],2,FALSE)</f>
        <v>Identity Resolution, Linkage, Merging &amp; Consolidation</v>
      </c>
    </row>
    <row r="138" spans="1:7">
      <c r="A138" s="1" t="s">
        <v>191</v>
      </c>
      <c r="B138" s="1" t="s">
        <v>72</v>
      </c>
      <c r="C138" s="31" t="s">
        <v>75</v>
      </c>
      <c r="D138" s="49">
        <f>VLOOKUP(ToolFeatures[[#This Row],[FEATURE CODE]],FeatureTree[],5,FALSE)</f>
        <v>5</v>
      </c>
      <c r="E138" s="49" t="str">
        <f>VLOOKUP(ToolFeatures[[#This Row],[FEATURE CODE]],FeatureTree[],6,FALSE)</f>
        <v>Matching, linking and merging</v>
      </c>
      <c r="F138" s="49" t="str">
        <f>VLOOKUP(LEFT(ToolFeatures[[#This Row],[FEATURE CODE]],2),FeatureTree[],2,FALSE)</f>
        <v>Data Preparation and Cleaning</v>
      </c>
      <c r="G138" s="49" t="str">
        <f>VLOOKUP(LEFT(ToolFeatures[[#This Row],[FEATURE CODE]],5),FeatureTree[],2,FALSE)</f>
        <v>Identity Resolution, Linkage, Merging &amp; Consolidation</v>
      </c>
    </row>
    <row r="139" spans="1:7">
      <c r="A139" s="1" t="s">
        <v>191</v>
      </c>
      <c r="B139" s="1" t="s">
        <v>73</v>
      </c>
      <c r="C139" s="31" t="s">
        <v>76</v>
      </c>
      <c r="D139" s="49">
        <f>VLOOKUP(ToolFeatures[[#This Row],[FEATURE CODE]],FeatureTree[],5,FALSE)</f>
        <v>5</v>
      </c>
      <c r="E139" s="49" t="str">
        <f>VLOOKUP(ToolFeatures[[#This Row],[FEATURE CODE]],FeatureTree[],6,FALSE)</f>
        <v>Matching, linking and merging</v>
      </c>
      <c r="F139" s="49" t="str">
        <f>VLOOKUP(LEFT(ToolFeatures[[#This Row],[FEATURE CODE]],2),FeatureTree[],2,FALSE)</f>
        <v>Data Preparation and Cleaning</v>
      </c>
      <c r="G139" s="49" t="str">
        <f>VLOOKUP(LEFT(ToolFeatures[[#This Row],[FEATURE CODE]],5),FeatureTree[],2,FALSE)</f>
        <v>Identity Resolution, Linkage, Merging &amp; Consolidation</v>
      </c>
    </row>
    <row r="140" spans="1:7">
      <c r="A140" s="1" t="s">
        <v>191</v>
      </c>
      <c r="B140" s="1" t="s">
        <v>203</v>
      </c>
      <c r="C140" s="31" t="s">
        <v>81</v>
      </c>
      <c r="D140" s="49">
        <f>VLOOKUP(ToolFeatures[[#This Row],[FEATURE CODE]],FeatureTree[],5,FALSE)</f>
        <v>5</v>
      </c>
      <c r="E140" s="49" t="str">
        <f>VLOOKUP(ToolFeatures[[#This Row],[FEATURE CODE]],FeatureTree[],6,FALSE)</f>
        <v>Metadata management</v>
      </c>
      <c r="F140" s="49" t="str">
        <f>VLOOKUP(LEFT(ToolFeatures[[#This Row],[FEATURE CODE]],2),FeatureTree[],2,FALSE)</f>
        <v>Data Use</v>
      </c>
      <c r="G140" s="49" t="str">
        <f>VLOOKUP(LEFT(ToolFeatures[[#This Row],[FEATURE CODE]],5),FeatureTree[],2,FALSE)</f>
        <v>Metadata Management</v>
      </c>
    </row>
    <row r="141" spans="1:7">
      <c r="A141" s="1" t="s">
        <v>191</v>
      </c>
      <c r="B141" s="1" t="s">
        <v>204</v>
      </c>
      <c r="C141" s="31" t="s">
        <v>82</v>
      </c>
      <c r="D141" s="49">
        <f>VLOOKUP(ToolFeatures[[#This Row],[FEATURE CODE]],FeatureTree[],5,FALSE)</f>
        <v>5</v>
      </c>
      <c r="E141" s="49" t="str">
        <f>VLOOKUP(ToolFeatures[[#This Row],[FEATURE CODE]],FeatureTree[],6,FALSE)</f>
        <v>Metadata management</v>
      </c>
      <c r="F141" s="49" t="str">
        <f>VLOOKUP(LEFT(ToolFeatures[[#This Row],[FEATURE CODE]],2),FeatureTree[],2,FALSE)</f>
        <v>Data Use</v>
      </c>
      <c r="G141" s="49" t="str">
        <f>VLOOKUP(LEFT(ToolFeatures[[#This Row],[FEATURE CODE]],5),FeatureTree[],2,FALSE)</f>
        <v>Metadata Management</v>
      </c>
    </row>
    <row r="142" spans="1:7">
      <c r="A142" s="1" t="s">
        <v>191</v>
      </c>
      <c r="B142" s="1" t="s">
        <v>206</v>
      </c>
      <c r="C142" s="31" t="s">
        <v>84</v>
      </c>
      <c r="D142" s="49">
        <f>VLOOKUP(ToolFeatures[[#This Row],[FEATURE CODE]],FeatureTree[],5,FALSE)</f>
        <v>5</v>
      </c>
      <c r="E142" s="49" t="str">
        <f>VLOOKUP(ToolFeatures[[#This Row],[FEATURE CODE]],FeatureTree[],6,FALSE)</f>
        <v>Metadata management</v>
      </c>
      <c r="F142" s="49" t="str">
        <f>VLOOKUP(LEFT(ToolFeatures[[#This Row],[FEATURE CODE]],2),FeatureTree[],2,FALSE)</f>
        <v>Data Use</v>
      </c>
      <c r="G142" s="49" t="str">
        <f>VLOOKUP(LEFT(ToolFeatures[[#This Row],[FEATURE CODE]],5),FeatureTree[],2,FALSE)</f>
        <v>Metadata Management</v>
      </c>
    </row>
    <row r="143" spans="1:7">
      <c r="A143" s="1" t="s">
        <v>191</v>
      </c>
      <c r="B143" s="1" t="s">
        <v>236</v>
      </c>
      <c r="C143" s="31" t="s">
        <v>90</v>
      </c>
      <c r="D143" s="49">
        <f>VLOOKUP(ToolFeatures[[#This Row],[FEATURE CODE]],FeatureTree[],5,FALSE)</f>
        <v>5</v>
      </c>
      <c r="E143" s="49" t="str">
        <f>VLOOKUP(ToolFeatures[[#This Row],[FEATURE CODE]],FeatureTree[],6,FALSE)</f>
        <v>Usability</v>
      </c>
      <c r="F143" s="49" t="str">
        <f>VLOOKUP(LEFT(ToolFeatures[[#This Row],[FEATURE CODE]],2),FeatureTree[],2,FALSE)</f>
        <v>Data Use</v>
      </c>
      <c r="G143" s="49" t="str">
        <f>VLOOKUP(LEFT(ToolFeatures[[#This Row],[FEATURE CODE]],5),FeatureTree[],2,FALSE)</f>
        <v>Data Mining</v>
      </c>
    </row>
    <row r="144" spans="1:7">
      <c r="A144" s="1" t="s">
        <v>191</v>
      </c>
      <c r="B144" s="1" t="s">
        <v>127</v>
      </c>
      <c r="C144" s="31" t="s">
        <v>129</v>
      </c>
      <c r="D144" s="49">
        <f>VLOOKUP(ToolFeatures[[#This Row],[FEATURE CODE]],FeatureTree[],5,FALSE)</f>
        <v>5</v>
      </c>
      <c r="E144" s="49" t="str">
        <f>VLOOKUP(ToolFeatures[[#This Row],[FEATURE CODE]],FeatureTree[],6,FALSE)</f>
        <v>Monitoring</v>
      </c>
      <c r="F144" s="49" t="str">
        <f>VLOOKUP(LEFT(ToolFeatures[[#This Row],[FEATURE CODE]],2),FeatureTree[],2,FALSE)</f>
        <v>Data Monitoring</v>
      </c>
      <c r="G144" s="49" t="str">
        <f>VLOOKUP(LEFT(ToolFeatures[[#This Row],[FEATURE CODE]],5),FeatureTree[],2,FALSE)</f>
        <v>Monitoring &amp; Alerting</v>
      </c>
    </row>
    <row r="145" spans="1:7">
      <c r="A145" s="1" t="s">
        <v>191</v>
      </c>
      <c r="B145" s="1" t="s">
        <v>131</v>
      </c>
      <c r="C145" s="31" t="s">
        <v>128</v>
      </c>
      <c r="D145" s="49">
        <f>VLOOKUP(ToolFeatures[[#This Row],[FEATURE CODE]],FeatureTree[],5,FALSE)</f>
        <v>5</v>
      </c>
      <c r="E145" s="49" t="str">
        <f>VLOOKUP(ToolFeatures[[#This Row],[FEATURE CODE]],FeatureTree[],6,FALSE)</f>
        <v>Monitoring</v>
      </c>
      <c r="F145" s="49" t="str">
        <f>VLOOKUP(LEFT(ToolFeatures[[#This Row],[FEATURE CODE]],2),FeatureTree[],2,FALSE)</f>
        <v>Data Monitoring</v>
      </c>
      <c r="G145" s="49" t="str">
        <f>VLOOKUP(LEFT(ToolFeatures[[#This Row],[FEATURE CODE]],5),FeatureTree[],2,FALSE)</f>
        <v>Monitoring &amp; Alerting</v>
      </c>
    </row>
    <row r="146" spans="1:7">
      <c r="A146" s="1" t="s">
        <v>191</v>
      </c>
      <c r="B146" s="1" t="s">
        <v>132</v>
      </c>
      <c r="C146" s="31" t="s">
        <v>130</v>
      </c>
      <c r="D146" s="49">
        <f>VLOOKUP(ToolFeatures[[#This Row],[FEATURE CODE]],FeatureTree[],5,FALSE)</f>
        <v>5</v>
      </c>
      <c r="E146" s="49" t="str">
        <f>VLOOKUP(ToolFeatures[[#This Row],[FEATURE CODE]],FeatureTree[],6,FALSE)</f>
        <v>Monitoring</v>
      </c>
      <c r="F146" s="49" t="str">
        <f>VLOOKUP(LEFT(ToolFeatures[[#This Row],[FEATURE CODE]],2),FeatureTree[],2,FALSE)</f>
        <v>Data Monitoring</v>
      </c>
      <c r="G146" s="49" t="str">
        <f>VLOOKUP(LEFT(ToolFeatures[[#This Row],[FEATURE CODE]],5),FeatureTree[],2,FALSE)</f>
        <v>Monitoring &amp; Alerting</v>
      </c>
    </row>
    <row r="147" spans="1:7">
      <c r="A147" s="1" t="s">
        <v>91</v>
      </c>
      <c r="B147" s="1" t="s">
        <v>102</v>
      </c>
      <c r="C147" s="31" t="s">
        <v>99</v>
      </c>
      <c r="D147" s="49">
        <f>VLOOKUP(ToolFeatures[[#This Row],[FEATURE CODE]],FeatureTree[],5,FALSE)</f>
        <v>5</v>
      </c>
      <c r="E147" s="49" t="str">
        <f>VLOOKUP(ToolFeatures[[#This Row],[FEATURE CODE]],FeatureTree[],6,FALSE)</f>
        <v>Connectivity</v>
      </c>
      <c r="F147" s="49" t="str">
        <f>VLOOKUP(LEFT(ToolFeatures[[#This Row],[FEATURE CODE]],2),FeatureTree[],2,FALSE)</f>
        <v>Data Ingestion and Integration</v>
      </c>
      <c r="G147" s="49" t="str">
        <f>VLOOKUP(LEFT(ToolFeatures[[#This Row],[FEATURE CODE]],5),FeatureTree[],2,FALSE)</f>
        <v>Data Consolidation</v>
      </c>
    </row>
    <row r="148" spans="1:7">
      <c r="A148" s="1" t="s">
        <v>91</v>
      </c>
      <c r="B148" s="1" t="s">
        <v>33</v>
      </c>
      <c r="C148" s="31" t="s">
        <v>223</v>
      </c>
      <c r="D148" s="49">
        <f>VLOOKUP(ToolFeatures[[#This Row],[FEATURE CODE]],FeatureTree[],5,FALSE)</f>
        <v>5</v>
      </c>
      <c r="E148" s="49" t="str">
        <f>VLOOKUP(ToolFeatures[[#This Row],[FEATURE CODE]],FeatureTree[],6,FALSE)</f>
        <v>Parsing</v>
      </c>
      <c r="F148" s="49" t="str">
        <f>VLOOKUP(LEFT(ToolFeatures[[#This Row],[FEATURE CODE]],2),FeatureTree[],2,FALSE)</f>
        <v>Data Ingestion and Integration</v>
      </c>
      <c r="G148" s="49" t="str">
        <f>VLOOKUP(LEFT(ToolFeatures[[#This Row],[FEATURE CODE]],5),FeatureTree[],2,FALSE)</f>
        <v>Data Consolidation</v>
      </c>
    </row>
    <row r="149" spans="1:7" ht="30">
      <c r="A149" s="1" t="s">
        <v>91</v>
      </c>
      <c r="B149" s="1" t="s">
        <v>47</v>
      </c>
      <c r="C149" s="31" t="s">
        <v>94</v>
      </c>
      <c r="D149" s="49">
        <f>VLOOKUP(ToolFeatures[[#This Row],[FEATURE CODE]],FeatureTree[],5,FALSE)</f>
        <v>5</v>
      </c>
      <c r="E149" s="49" t="str">
        <f>VLOOKUP(ToolFeatures[[#This Row],[FEATURE CODE]],FeatureTree[],6,FALSE)</f>
        <v>Issue resolution and workflow</v>
      </c>
      <c r="F149" s="49" t="str">
        <f>VLOOKUP(LEFT(ToolFeatures[[#This Row],[FEATURE CODE]],2),FeatureTree[],2,FALSE)</f>
        <v>Data Ingestion and Integration</v>
      </c>
      <c r="G149" s="49" t="str">
        <f>VLOOKUP(LEFT(ToolFeatures[[#This Row],[FEATURE CODE]],5),FeatureTree[],2,FALSE)</f>
        <v>Data Propagation</v>
      </c>
    </row>
    <row r="150" spans="1:7">
      <c r="A150" s="1" t="s">
        <v>91</v>
      </c>
      <c r="B150" s="1" t="s">
        <v>95</v>
      </c>
      <c r="C150" s="31" t="s">
        <v>96</v>
      </c>
      <c r="D150" s="49">
        <f>VLOOKUP(ToolFeatures[[#This Row],[FEATURE CODE]],FeatureTree[],5,FALSE)</f>
        <v>5</v>
      </c>
      <c r="E150" s="49" t="str">
        <f>VLOOKUP(ToolFeatures[[#This Row],[FEATURE CODE]],FeatureTree[],6,FALSE)</f>
        <v>Architecture and integration</v>
      </c>
      <c r="F150" s="49" t="str">
        <f>VLOOKUP(LEFT(ToolFeatures[[#This Row],[FEATURE CODE]],2),FeatureTree[],2,FALSE)</f>
        <v>Data Ingestion and Integration</v>
      </c>
      <c r="G150" s="49" t="str">
        <f>VLOOKUP(LEFT(ToolFeatures[[#This Row],[FEATURE CODE]],5),FeatureTree[],2,FALSE)</f>
        <v>Data Propagation</v>
      </c>
    </row>
    <row r="151" spans="1:7">
      <c r="A151" s="1" t="s">
        <v>225</v>
      </c>
      <c r="B151" s="1" t="s">
        <v>102</v>
      </c>
      <c r="C151" s="31" t="s">
        <v>99</v>
      </c>
      <c r="D151" s="49">
        <f>VLOOKUP(ToolFeatures[[#This Row],[FEATURE CODE]],FeatureTree[],5,FALSE)</f>
        <v>5</v>
      </c>
      <c r="E151" s="49" t="str">
        <f>VLOOKUP(ToolFeatures[[#This Row],[FEATURE CODE]],FeatureTree[],6,FALSE)</f>
        <v>Connectivity</v>
      </c>
      <c r="F151" s="49" t="str">
        <f>VLOOKUP(LEFT(ToolFeatures[[#This Row],[FEATURE CODE]],2),FeatureTree[],2,FALSE)</f>
        <v>Data Ingestion and Integration</v>
      </c>
      <c r="G151" s="49" t="str">
        <f>VLOOKUP(LEFT(ToolFeatures[[#This Row],[FEATURE CODE]],5),FeatureTree[],2,FALSE)</f>
        <v>Data Consolidation</v>
      </c>
    </row>
    <row r="152" spans="1:7">
      <c r="A152" s="1" t="s">
        <v>225</v>
      </c>
      <c r="B152" s="1" t="s">
        <v>33</v>
      </c>
      <c r="C152" s="31" t="s">
        <v>223</v>
      </c>
      <c r="D152" s="49">
        <f>VLOOKUP(ToolFeatures[[#This Row],[FEATURE CODE]],FeatureTree[],5,FALSE)</f>
        <v>5</v>
      </c>
      <c r="E152" s="49" t="str">
        <f>VLOOKUP(ToolFeatures[[#This Row],[FEATURE CODE]],FeatureTree[],6,FALSE)</f>
        <v>Parsing</v>
      </c>
      <c r="F152" s="49" t="str">
        <f>VLOOKUP(LEFT(ToolFeatures[[#This Row],[FEATURE CODE]],2),FeatureTree[],2,FALSE)</f>
        <v>Data Ingestion and Integration</v>
      </c>
      <c r="G152" s="49" t="str">
        <f>VLOOKUP(LEFT(ToolFeatures[[#This Row],[FEATURE CODE]],5),FeatureTree[],2,FALSE)</f>
        <v>Data Consolidation</v>
      </c>
    </row>
    <row r="153" spans="1:7" ht="30">
      <c r="A153" s="1" t="s">
        <v>225</v>
      </c>
      <c r="B153" s="1" t="s">
        <v>47</v>
      </c>
      <c r="C153" s="31" t="s">
        <v>94</v>
      </c>
      <c r="D153" s="49">
        <f>VLOOKUP(ToolFeatures[[#This Row],[FEATURE CODE]],FeatureTree[],5,FALSE)</f>
        <v>5</v>
      </c>
      <c r="E153" s="49" t="str">
        <f>VLOOKUP(ToolFeatures[[#This Row],[FEATURE CODE]],FeatureTree[],6,FALSE)</f>
        <v>Issue resolution and workflow</v>
      </c>
      <c r="F153" s="49" t="str">
        <f>VLOOKUP(LEFT(ToolFeatures[[#This Row],[FEATURE CODE]],2),FeatureTree[],2,FALSE)</f>
        <v>Data Ingestion and Integration</v>
      </c>
      <c r="G153" s="49" t="str">
        <f>VLOOKUP(LEFT(ToolFeatures[[#This Row],[FEATURE CODE]],5),FeatureTree[],2,FALSE)</f>
        <v>Data Propagation</v>
      </c>
    </row>
    <row r="154" spans="1:7">
      <c r="A154" s="1" t="s">
        <v>225</v>
      </c>
      <c r="B154" s="1" t="s">
        <v>48</v>
      </c>
      <c r="C154" s="31" t="s">
        <v>37</v>
      </c>
      <c r="D154" s="49">
        <f>VLOOKUP(ToolFeatures[[#This Row],[FEATURE CODE]],FeatureTree[],5,FALSE)</f>
        <v>5</v>
      </c>
      <c r="E154" s="49" t="str">
        <f>VLOOKUP(ToolFeatures[[#This Row],[FEATURE CODE]],FeatureTree[],6,FALSE)</f>
        <v>Architecture and integration</v>
      </c>
      <c r="F154" s="49" t="str">
        <f>VLOOKUP(LEFT(ToolFeatures[[#This Row],[FEATURE CODE]],2),FeatureTree[],2,FALSE)</f>
        <v>Data Ingestion and Integration</v>
      </c>
      <c r="G154" s="49" t="str">
        <f>VLOOKUP(LEFT(ToolFeatures[[#This Row],[FEATURE CODE]],5),FeatureTree[],2,FALSE)</f>
        <v>Data Propagation</v>
      </c>
    </row>
    <row r="155" spans="1:7">
      <c r="A155" s="1" t="s">
        <v>279</v>
      </c>
      <c r="B155" s="1" t="s">
        <v>17</v>
      </c>
      <c r="C155" s="31" t="s">
        <v>16</v>
      </c>
      <c r="D155" s="49">
        <f>VLOOKUP(ToolFeatures[[#This Row],[FEATURE CODE]],FeatureTree[],5,FALSE)</f>
        <v>5</v>
      </c>
      <c r="E155" s="49" t="str">
        <f>VLOOKUP(ToolFeatures[[#This Row],[FEATURE CODE]],FeatureTree[],6,FALSE)</f>
        <v>Data profiling, measurement and visualization</v>
      </c>
      <c r="F155" s="49" t="str">
        <f>VLOOKUP(LEFT(ToolFeatures[[#This Row],[FEATURE CODE]],2),FeatureTree[],2,FALSE)</f>
        <v>Data Profiling, Exploration/Pattern Detection</v>
      </c>
      <c r="G155" s="49" t="str">
        <f>VLOOKUP(LEFT(ToolFeatures[[#This Row],[FEATURE CODE]],5),FeatureTree[],2,FALSE)</f>
        <v>Relationship discovery</v>
      </c>
    </row>
    <row r="156" spans="1:7" ht="30">
      <c r="A156" s="1" t="s">
        <v>279</v>
      </c>
      <c r="B156" s="1" t="s">
        <v>19</v>
      </c>
      <c r="C156" s="31" t="s">
        <v>20</v>
      </c>
      <c r="D156" s="49">
        <f>VLOOKUP(ToolFeatures[[#This Row],[FEATURE CODE]],FeatureTree[],5,FALSE)</f>
        <v>5</v>
      </c>
      <c r="E156" s="49" t="str">
        <f>VLOOKUP(ToolFeatures[[#This Row],[FEATURE CODE]],FeatureTree[],6,FALSE)</f>
        <v>Data profiling, measurement and visualization</v>
      </c>
      <c r="F156" s="49" t="str">
        <f>VLOOKUP(LEFT(ToolFeatures[[#This Row],[FEATURE CODE]],2),FeatureTree[],2,FALSE)</f>
        <v>Data Profiling, Exploration/Pattern Detection</v>
      </c>
      <c r="G156" s="49" t="str">
        <f>VLOOKUP(LEFT(ToolFeatures[[#This Row],[FEATURE CODE]],5),FeatureTree[],2,FALSE)</f>
        <v>Relationship discovery</v>
      </c>
    </row>
    <row r="157" spans="1:7">
      <c r="A157" s="1" t="s">
        <v>279</v>
      </c>
      <c r="B157" s="1" t="s">
        <v>21</v>
      </c>
      <c r="C157" s="31" t="s">
        <v>24</v>
      </c>
      <c r="D157" s="49">
        <f>VLOOKUP(ToolFeatures[[#This Row],[FEATURE CODE]],FeatureTree[],5,FALSE)</f>
        <v>5</v>
      </c>
      <c r="E157" s="49" t="str">
        <f>VLOOKUP(ToolFeatures[[#This Row],[FEATURE CODE]],FeatureTree[],6,FALSE)</f>
        <v>Data profiling, measurement and visualization</v>
      </c>
      <c r="F157" s="49" t="str">
        <f>VLOOKUP(LEFT(ToolFeatures[[#This Row],[FEATURE CODE]],2),FeatureTree[],2,FALSE)</f>
        <v>Data Profiling, Exploration/Pattern Detection</v>
      </c>
      <c r="G157" s="49" t="str">
        <f>VLOOKUP(LEFT(ToolFeatures[[#This Row],[FEATURE CODE]],5),FeatureTree[],2,FALSE)</f>
        <v>Content discovery</v>
      </c>
    </row>
    <row r="158" spans="1:7" ht="30">
      <c r="A158" s="1" t="s">
        <v>279</v>
      </c>
      <c r="B158" s="1" t="s">
        <v>27</v>
      </c>
      <c r="C158" s="31" t="s">
        <v>30</v>
      </c>
      <c r="D158" s="49">
        <f>VLOOKUP(ToolFeatures[[#This Row],[FEATURE CODE]],FeatureTree[],5,FALSE)</f>
        <v>5</v>
      </c>
      <c r="E158" s="49" t="str">
        <f>VLOOKUP(ToolFeatures[[#This Row],[FEATURE CODE]],FeatureTree[],6,FALSE)</f>
        <v>Data profiling, measurement and visualization</v>
      </c>
      <c r="F158" s="49" t="str">
        <f>VLOOKUP(LEFT(ToolFeatures[[#This Row],[FEATURE CODE]],2),FeatureTree[],2,FALSE)</f>
        <v>Data Profiling, Exploration/Pattern Detection</v>
      </c>
      <c r="G158" s="49" t="str">
        <f>VLOOKUP(LEFT(ToolFeatures[[#This Row],[FEATURE CODE]],5),FeatureTree[],2,FALSE)</f>
        <v>Structure discovery</v>
      </c>
    </row>
    <row r="159" spans="1:7">
      <c r="A159" s="1" t="s">
        <v>279</v>
      </c>
      <c r="B159" s="1" t="s">
        <v>29</v>
      </c>
      <c r="C159" s="31" t="s">
        <v>32</v>
      </c>
      <c r="D159" s="49">
        <f>VLOOKUP(ToolFeatures[[#This Row],[FEATURE CODE]],FeatureTree[],5,FALSE)</f>
        <v>5</v>
      </c>
      <c r="E159" s="49" t="str">
        <f>VLOOKUP(ToolFeatures[[#This Row],[FEATURE CODE]],FeatureTree[],6,FALSE)</f>
        <v>Data profiling, measurement and visualization</v>
      </c>
      <c r="F159" s="49" t="str">
        <f>VLOOKUP(LEFT(ToolFeatures[[#This Row],[FEATURE CODE]],2),FeatureTree[],2,FALSE)</f>
        <v>Data Profiling, Exploration/Pattern Detection</v>
      </c>
      <c r="G159" s="49" t="str">
        <f>VLOOKUP(LEFT(ToolFeatures[[#This Row],[FEATURE CODE]],5),FeatureTree[],2,FALSE)</f>
        <v>Structure discovery</v>
      </c>
    </row>
    <row r="160" spans="1:7">
      <c r="A160" s="1" t="s">
        <v>279</v>
      </c>
      <c r="B160" s="1" t="s">
        <v>102</v>
      </c>
      <c r="C160" s="31" t="s">
        <v>99</v>
      </c>
      <c r="D160" s="49">
        <f>VLOOKUP(ToolFeatures[[#This Row],[FEATURE CODE]],FeatureTree[],5,FALSE)</f>
        <v>5</v>
      </c>
      <c r="E160" s="49" t="str">
        <f>VLOOKUP(ToolFeatures[[#This Row],[FEATURE CODE]],FeatureTree[],6,FALSE)</f>
        <v>Connectivity</v>
      </c>
      <c r="F160" s="49" t="str">
        <f>VLOOKUP(LEFT(ToolFeatures[[#This Row],[FEATURE CODE]],2),FeatureTree[],2,FALSE)</f>
        <v>Data Ingestion and Integration</v>
      </c>
      <c r="G160" s="49" t="str">
        <f>VLOOKUP(LEFT(ToolFeatures[[#This Row],[FEATURE CODE]],5),FeatureTree[],2,FALSE)</f>
        <v>Data Consolidation</v>
      </c>
    </row>
    <row r="161" spans="1:7">
      <c r="A161" s="1" t="s">
        <v>279</v>
      </c>
      <c r="B161" s="1" t="s">
        <v>33</v>
      </c>
      <c r="C161" s="31" t="s">
        <v>223</v>
      </c>
      <c r="D161" s="49">
        <f>VLOOKUP(ToolFeatures[[#This Row],[FEATURE CODE]],FeatureTree[],5,FALSE)</f>
        <v>5</v>
      </c>
      <c r="E161" s="49" t="str">
        <f>VLOOKUP(ToolFeatures[[#This Row],[FEATURE CODE]],FeatureTree[],6,FALSE)</f>
        <v>Parsing</v>
      </c>
      <c r="F161" s="49" t="str">
        <f>VLOOKUP(LEFT(ToolFeatures[[#This Row],[FEATURE CODE]],2),FeatureTree[],2,FALSE)</f>
        <v>Data Ingestion and Integration</v>
      </c>
      <c r="G161" s="49" t="str">
        <f>VLOOKUP(LEFT(ToolFeatures[[#This Row],[FEATURE CODE]],5),FeatureTree[],2,FALSE)</f>
        <v>Data Consolidation</v>
      </c>
    </row>
    <row r="162" spans="1:7">
      <c r="A162" s="1" t="s">
        <v>279</v>
      </c>
      <c r="B162" s="1" t="s">
        <v>59</v>
      </c>
      <c r="C162" s="31" t="s">
        <v>41</v>
      </c>
      <c r="D162" s="49">
        <f>VLOOKUP(ToolFeatures[[#This Row],[FEATURE CODE]],FeatureTree[],5,FALSE)</f>
        <v>5</v>
      </c>
      <c r="E162" s="49" t="str">
        <f>VLOOKUP(ToolFeatures[[#This Row],[FEATURE CODE]],FeatureTree[],6,FALSE)</f>
        <v>Standardization and cleansing</v>
      </c>
      <c r="F162" s="49" t="str">
        <f>VLOOKUP(LEFT(ToolFeatures[[#This Row],[FEATURE CODE]],2),FeatureTree[],2,FALSE)</f>
        <v>Data Preparation and Cleaning</v>
      </c>
      <c r="G162" s="49" t="str">
        <f>VLOOKUP(LEFT(ToolFeatures[[#This Row],[FEATURE CODE]],5),FeatureTree[],2,FALSE)</f>
        <v>Parsing and Standardization</v>
      </c>
    </row>
    <row r="163" spans="1:7">
      <c r="A163" s="1" t="s">
        <v>279</v>
      </c>
      <c r="B163" s="1" t="s">
        <v>60</v>
      </c>
      <c r="C163" s="31" t="s">
        <v>42</v>
      </c>
      <c r="D163" s="49">
        <f>VLOOKUP(ToolFeatures[[#This Row],[FEATURE CODE]],FeatureTree[],5,FALSE)</f>
        <v>5</v>
      </c>
      <c r="E163" s="49" t="str">
        <f>VLOOKUP(ToolFeatures[[#This Row],[FEATURE CODE]],FeatureTree[],6,FALSE)</f>
        <v>Data curation and enrichment</v>
      </c>
      <c r="F163" s="49" t="str">
        <f>VLOOKUP(LEFT(ToolFeatures[[#This Row],[FEATURE CODE]],2),FeatureTree[],2,FALSE)</f>
        <v>Data Preparation and Cleaning</v>
      </c>
      <c r="G163" s="49" t="str">
        <f>VLOOKUP(LEFT(ToolFeatures[[#This Row],[FEATURE CODE]],5),FeatureTree[],2,FALSE)</f>
        <v>Parsing and Standardization</v>
      </c>
    </row>
    <row r="164" spans="1:7">
      <c r="A164" s="1" t="s">
        <v>279</v>
      </c>
      <c r="B164" s="1" t="s">
        <v>79</v>
      </c>
      <c r="C164" s="31" t="s">
        <v>70</v>
      </c>
      <c r="D164" s="49">
        <f>VLOOKUP(ToolFeatures[[#This Row],[FEATURE CODE]],FeatureTree[],5,FALSE)</f>
        <v>5</v>
      </c>
      <c r="E164" s="49" t="str">
        <f>VLOOKUP(ToolFeatures[[#This Row],[FEATURE CODE]],FeatureTree[],6,FALSE)</f>
        <v>Data curation and enrichment</v>
      </c>
      <c r="F164" s="49" t="str">
        <f>VLOOKUP(LEFT(ToolFeatures[[#This Row],[FEATURE CODE]],2),FeatureTree[],2,FALSE)</f>
        <v>Data Preparation and Cleaning</v>
      </c>
      <c r="G164" s="49" t="str">
        <f>VLOOKUP(LEFT(ToolFeatures[[#This Row],[FEATURE CODE]],5),FeatureTree[],2,FALSE)</f>
        <v>Parsing and Standardization</v>
      </c>
    </row>
    <row r="165" spans="1:7">
      <c r="A165" s="1" t="s">
        <v>279</v>
      </c>
      <c r="B165" s="1" t="s">
        <v>73</v>
      </c>
      <c r="C165" s="31" t="s">
        <v>76</v>
      </c>
      <c r="D165" s="49">
        <f>VLOOKUP(ToolFeatures[[#This Row],[FEATURE CODE]],FeatureTree[],5,FALSE)</f>
        <v>5</v>
      </c>
      <c r="E165" s="49" t="str">
        <f>VLOOKUP(ToolFeatures[[#This Row],[FEATURE CODE]],FeatureTree[],6,FALSE)</f>
        <v>Matching, linking and merging</v>
      </c>
      <c r="F165" s="49" t="str">
        <f>VLOOKUP(LEFT(ToolFeatures[[#This Row],[FEATURE CODE]],2),FeatureTree[],2,FALSE)</f>
        <v>Data Preparation and Cleaning</v>
      </c>
      <c r="G165" s="49" t="str">
        <f>VLOOKUP(LEFT(ToolFeatures[[#This Row],[FEATURE CODE]],5),FeatureTree[],2,FALSE)</f>
        <v>Identity Resolution, Linkage, Merging &amp; Consolidation</v>
      </c>
    </row>
    <row r="166" spans="1:7">
      <c r="A166" s="1" t="s">
        <v>279</v>
      </c>
      <c r="B166" s="1" t="s">
        <v>74</v>
      </c>
      <c r="C166" s="31" t="s">
        <v>77</v>
      </c>
      <c r="D166" s="49">
        <f>VLOOKUP(ToolFeatures[[#This Row],[FEATURE CODE]],FeatureTree[],5,FALSE)</f>
        <v>5</v>
      </c>
      <c r="E166" s="49" t="str">
        <f>VLOOKUP(ToolFeatures[[#This Row],[FEATURE CODE]],FeatureTree[],6,FALSE)</f>
        <v>Matching, linking and merging</v>
      </c>
      <c r="F166" s="49" t="str">
        <f>VLOOKUP(LEFT(ToolFeatures[[#This Row],[FEATURE CODE]],2),FeatureTree[],2,FALSE)</f>
        <v>Data Preparation and Cleaning</v>
      </c>
      <c r="G166" s="49" t="str">
        <f>VLOOKUP(LEFT(ToolFeatures[[#This Row],[FEATURE CODE]],5),FeatureTree[],2,FALSE)</f>
        <v>Identity Resolution, Linkage, Merging &amp; Consolidation</v>
      </c>
    </row>
    <row r="167" spans="1:7">
      <c r="A167" s="1" t="s">
        <v>226</v>
      </c>
      <c r="B167" s="1" t="s">
        <v>102</v>
      </c>
      <c r="C167" s="31" t="s">
        <v>99</v>
      </c>
      <c r="D167" s="49">
        <f>VLOOKUP(ToolFeatures[[#This Row],[FEATURE CODE]],FeatureTree[],5,FALSE)</f>
        <v>5</v>
      </c>
      <c r="E167" s="49" t="str">
        <f>VLOOKUP(ToolFeatures[[#This Row],[FEATURE CODE]],FeatureTree[],6,FALSE)</f>
        <v>Connectivity</v>
      </c>
      <c r="F167" s="49" t="str">
        <f>VLOOKUP(LEFT(ToolFeatures[[#This Row],[FEATURE CODE]],2),FeatureTree[],2,FALSE)</f>
        <v>Data Ingestion and Integration</v>
      </c>
      <c r="G167" s="49" t="str">
        <f>VLOOKUP(LEFT(ToolFeatures[[#This Row],[FEATURE CODE]],5),FeatureTree[],2,FALSE)</f>
        <v>Data Consolidation</v>
      </c>
    </row>
    <row r="168" spans="1:7" ht="30">
      <c r="A168" s="1" t="s">
        <v>226</v>
      </c>
      <c r="B168" s="1" t="s">
        <v>47</v>
      </c>
      <c r="C168" s="31" t="s">
        <v>94</v>
      </c>
      <c r="D168" s="49">
        <f>VLOOKUP(ToolFeatures[[#This Row],[FEATURE CODE]],FeatureTree[],5,FALSE)</f>
        <v>5</v>
      </c>
      <c r="E168" s="49" t="str">
        <f>VLOOKUP(ToolFeatures[[#This Row],[FEATURE CODE]],FeatureTree[],6,FALSE)</f>
        <v>Issue resolution and workflow</v>
      </c>
      <c r="F168" s="49" t="str">
        <f>VLOOKUP(LEFT(ToolFeatures[[#This Row],[FEATURE CODE]],2),FeatureTree[],2,FALSE)</f>
        <v>Data Ingestion and Integration</v>
      </c>
      <c r="G168" s="49" t="str">
        <f>VLOOKUP(LEFT(ToolFeatures[[#This Row],[FEATURE CODE]],5),FeatureTree[],2,FALSE)</f>
        <v>Data Propagation</v>
      </c>
    </row>
    <row r="169" spans="1:7">
      <c r="A169" s="1" t="s">
        <v>226</v>
      </c>
      <c r="B169" s="1" t="s">
        <v>56</v>
      </c>
      <c r="C169" s="31" t="s">
        <v>39</v>
      </c>
      <c r="D169" s="49">
        <f>VLOOKUP(ToolFeatures[[#This Row],[FEATURE CODE]],FeatureTree[],5,FALSE)</f>
        <v>5</v>
      </c>
      <c r="E169" s="49" t="str">
        <f>VLOOKUP(ToolFeatures[[#This Row],[FEATURE CODE]],FeatureTree[],6,FALSE)</f>
        <v>Issue resolution and workflow</v>
      </c>
      <c r="F169" s="49" t="str">
        <f>VLOOKUP(LEFT(ToolFeatures[[#This Row],[FEATURE CODE]],2),FeatureTree[],2,FALSE)</f>
        <v>Data Ingestion and Integration</v>
      </c>
      <c r="G169" s="49" t="str">
        <f>VLOOKUP(LEFT(ToolFeatures[[#This Row],[FEATURE CODE]],5),FeatureTree[],2,FALSE)</f>
        <v>Data Federation</v>
      </c>
    </row>
    <row r="170" spans="1:7">
      <c r="A170" s="1" t="s">
        <v>226</v>
      </c>
      <c r="B170" s="1" t="s">
        <v>240</v>
      </c>
      <c r="C170" s="31" t="s">
        <v>241</v>
      </c>
      <c r="D170" s="49">
        <f>VLOOKUP(ToolFeatures[[#This Row],[FEATURE CODE]],FeatureTree[],5,FALSE)</f>
        <v>5</v>
      </c>
      <c r="E170" s="49" t="str">
        <f>VLOOKUP(ToolFeatures[[#This Row],[FEATURE CODE]],FeatureTree[],6,FALSE)</f>
        <v>Deployment environment</v>
      </c>
      <c r="F170" s="49" t="str">
        <f>VLOOKUP(LEFT(ToolFeatures[[#This Row],[FEATURE CODE]],2),FeatureTree[],2,FALSE)</f>
        <v>Data Use</v>
      </c>
      <c r="G170" s="49" t="str">
        <f>VLOOKUP(LEFT(ToolFeatures[[#This Row],[FEATURE CODE]],5),FeatureTree[],2,FALSE)</f>
        <v>Privacy &amp; Security</v>
      </c>
    </row>
    <row r="171" spans="1:7">
      <c r="A171" s="1" t="s">
        <v>227</v>
      </c>
      <c r="B171" s="1" t="s">
        <v>102</v>
      </c>
      <c r="C171" s="31" t="s">
        <v>99</v>
      </c>
      <c r="D171" s="49">
        <f>VLOOKUP(ToolFeatures[[#This Row],[FEATURE CODE]],FeatureTree[],5,FALSE)</f>
        <v>5</v>
      </c>
      <c r="E171" s="49" t="str">
        <f>VLOOKUP(ToolFeatures[[#This Row],[FEATURE CODE]],FeatureTree[],6,FALSE)</f>
        <v>Connectivity</v>
      </c>
      <c r="F171" s="49" t="str">
        <f>VLOOKUP(LEFT(ToolFeatures[[#This Row],[FEATURE CODE]],2),FeatureTree[],2,FALSE)</f>
        <v>Data Ingestion and Integration</v>
      </c>
      <c r="G171" s="49" t="str">
        <f>VLOOKUP(LEFT(ToolFeatures[[#This Row],[FEATURE CODE]],5),FeatureTree[],2,FALSE)</f>
        <v>Data Consolidation</v>
      </c>
    </row>
    <row r="172" spans="1:7">
      <c r="A172" s="1" t="s">
        <v>227</v>
      </c>
      <c r="B172" s="1" t="s">
        <v>60</v>
      </c>
      <c r="C172" s="31" t="s">
        <v>42</v>
      </c>
      <c r="D172" s="49">
        <f>VLOOKUP(ToolFeatures[[#This Row],[FEATURE CODE]],FeatureTree[],5,FALSE)</f>
        <v>5</v>
      </c>
      <c r="E172" s="49" t="str">
        <f>VLOOKUP(ToolFeatures[[#This Row],[FEATURE CODE]],FeatureTree[],6,FALSE)</f>
        <v>Data curation and enrichment</v>
      </c>
      <c r="F172" s="49" t="str">
        <f>VLOOKUP(LEFT(ToolFeatures[[#This Row],[FEATURE CODE]],2),FeatureTree[],2,FALSE)</f>
        <v>Data Preparation and Cleaning</v>
      </c>
      <c r="G172" s="49" t="str">
        <f>VLOOKUP(LEFT(ToolFeatures[[#This Row],[FEATURE CODE]],5),FeatureTree[],2,FALSE)</f>
        <v>Parsing and Standardization</v>
      </c>
    </row>
    <row r="173" spans="1:7">
      <c r="A173" s="1" t="s">
        <v>227</v>
      </c>
      <c r="B173" s="1" t="s">
        <v>63</v>
      </c>
      <c r="C173" s="31" t="s">
        <v>45</v>
      </c>
      <c r="D173" s="49">
        <f>VLOOKUP(ToolFeatures[[#This Row],[FEATURE CODE]],FeatureTree[],5,FALSE)</f>
        <v>5</v>
      </c>
      <c r="E173" s="49" t="str">
        <f>VLOOKUP(ToolFeatures[[#This Row],[FEATURE CODE]],FeatureTree[],6,FALSE)</f>
        <v>Standardization and cleansing</v>
      </c>
      <c r="F173" s="49" t="str">
        <f>VLOOKUP(LEFT(ToolFeatures[[#This Row],[FEATURE CODE]],2),FeatureTree[],2,FALSE)</f>
        <v>Data Preparation and Cleaning</v>
      </c>
      <c r="G173" s="49" t="str">
        <f>VLOOKUP(LEFT(ToolFeatures[[#This Row],[FEATURE CODE]],5),FeatureTree[],2,FALSE)</f>
        <v>Parsing and Standardization</v>
      </c>
    </row>
    <row r="174" spans="1:7">
      <c r="A174" s="1" t="s">
        <v>227</v>
      </c>
      <c r="B174" s="1" t="s">
        <v>337</v>
      </c>
      <c r="C174" s="31" t="s">
        <v>339</v>
      </c>
      <c r="D174" s="49">
        <f>VLOOKUP(ToolFeatures[[#This Row],[FEATURE CODE]],FeatureTree[],5,FALSE)</f>
        <v>5</v>
      </c>
      <c r="E174" s="49" t="str">
        <f>VLOOKUP(ToolFeatures[[#This Row],[FEATURE CODE]],FeatureTree[],6,FALSE)</f>
        <v>Master Reference Data Management</v>
      </c>
      <c r="F174" s="49" t="str">
        <f>VLOOKUP(LEFT(ToolFeatures[[#This Row],[FEATURE CODE]],2),FeatureTree[],2,FALSE)</f>
        <v>Data Preparation and Cleaning</v>
      </c>
      <c r="G174" s="49" t="str">
        <f>VLOOKUP(LEFT(ToolFeatures[[#This Row],[FEATURE CODE]],5),FeatureTree[],2,FALSE)</f>
        <v>Master Reference Data Management</v>
      </c>
    </row>
    <row r="175" spans="1:7">
      <c r="A175" s="1" t="s">
        <v>227</v>
      </c>
      <c r="B175" s="1" t="s">
        <v>344</v>
      </c>
      <c r="C175" s="31" t="s">
        <v>347</v>
      </c>
      <c r="D175" s="49">
        <f>VLOOKUP(ToolFeatures[[#This Row],[FEATURE CODE]],FeatureTree[],5,FALSE)</f>
        <v>5</v>
      </c>
      <c r="E175" s="49" t="str">
        <f>VLOOKUP(ToolFeatures[[#This Row],[FEATURE CODE]],FeatureTree[],6,FALSE)</f>
        <v>Master Reference Data Management</v>
      </c>
      <c r="F175" s="49" t="str">
        <f>VLOOKUP(LEFT(ToolFeatures[[#This Row],[FEATURE CODE]],2),FeatureTree[],2,FALSE)</f>
        <v>Data Preparation and Cleaning</v>
      </c>
      <c r="G175" s="49" t="str">
        <f>VLOOKUP(LEFT(ToolFeatures[[#This Row],[FEATURE CODE]],5),FeatureTree[],2,FALSE)</f>
        <v>Master Reference Data Management</v>
      </c>
    </row>
    <row r="176" spans="1:7">
      <c r="A176" s="1" t="s">
        <v>227</v>
      </c>
      <c r="B176" s="1" t="s">
        <v>231</v>
      </c>
      <c r="C176" s="31" t="s">
        <v>232</v>
      </c>
      <c r="D176" s="49">
        <f>VLOOKUP(ToolFeatures[[#This Row],[FEATURE CODE]],FeatureTree[],5,FALSE)</f>
        <v>5</v>
      </c>
      <c r="E176" s="49" t="str">
        <f>VLOOKUP(ToolFeatures[[#This Row],[FEATURE CODE]],FeatureTree[],6,FALSE)</f>
        <v>Usability</v>
      </c>
      <c r="F176" s="49" t="str">
        <f>VLOOKUP(LEFT(ToolFeatures[[#This Row],[FEATURE CODE]],2),FeatureTree[],2,FALSE)</f>
        <v>Data Use</v>
      </c>
      <c r="G176" s="49" t="str">
        <f>VLOOKUP(LEFT(ToolFeatures[[#This Row],[FEATURE CODE]],5),FeatureTree[],2,FALSE)</f>
        <v>Data Mining</v>
      </c>
    </row>
    <row r="177" spans="1:7">
      <c r="A177" s="1" t="s">
        <v>183</v>
      </c>
      <c r="B177" s="1" t="s">
        <v>100</v>
      </c>
      <c r="C177" s="31" t="s">
        <v>97</v>
      </c>
      <c r="D177" s="49">
        <f>VLOOKUP(ToolFeatures[[#This Row],[FEATURE CODE]],FeatureTree[],5,FALSE)</f>
        <v>3</v>
      </c>
      <c r="E177" s="49" t="str">
        <f>VLOOKUP(ToolFeatures[[#This Row],[FEATURE CODE]],FeatureTree[],6,FALSE)</f>
        <v>Connectivity</v>
      </c>
      <c r="F177" s="49" t="str">
        <f>VLOOKUP(LEFT(ToolFeatures[[#This Row],[FEATURE CODE]],2),FeatureTree[],2,FALSE)</f>
        <v>Data Ingestion and Integration</v>
      </c>
      <c r="G177" s="49" t="str">
        <f>VLOOKUP(LEFT(ToolFeatures[[#This Row],[FEATURE CODE]],5),FeatureTree[],2,FALSE)</f>
        <v>Data Consolidation</v>
      </c>
    </row>
    <row r="178" spans="1:7">
      <c r="A178" s="1" t="s">
        <v>183</v>
      </c>
      <c r="B178" s="1" t="s">
        <v>33</v>
      </c>
      <c r="C178" s="31" t="s">
        <v>223</v>
      </c>
      <c r="D178" s="49">
        <f>VLOOKUP(ToolFeatures[[#This Row],[FEATURE CODE]],FeatureTree[],5,FALSE)</f>
        <v>5</v>
      </c>
      <c r="E178" s="49" t="str">
        <f>VLOOKUP(ToolFeatures[[#This Row],[FEATURE CODE]],FeatureTree[],6,FALSE)</f>
        <v>Parsing</v>
      </c>
      <c r="F178" s="49" t="str">
        <f>VLOOKUP(LEFT(ToolFeatures[[#This Row],[FEATURE CODE]],2),FeatureTree[],2,FALSE)</f>
        <v>Data Ingestion and Integration</v>
      </c>
      <c r="G178" s="49" t="str">
        <f>VLOOKUP(LEFT(ToolFeatures[[#This Row],[FEATURE CODE]],5),FeatureTree[],2,FALSE)</f>
        <v>Data Consolidation</v>
      </c>
    </row>
    <row r="179" spans="1:7">
      <c r="A179" s="1" t="s">
        <v>183</v>
      </c>
      <c r="B179" s="1" t="s">
        <v>59</v>
      </c>
      <c r="C179" s="31" t="s">
        <v>41</v>
      </c>
      <c r="D179" s="49">
        <f>VLOOKUP(ToolFeatures[[#This Row],[FEATURE CODE]],FeatureTree[],5,FALSE)</f>
        <v>5</v>
      </c>
      <c r="E179" s="49" t="str">
        <f>VLOOKUP(ToolFeatures[[#This Row],[FEATURE CODE]],FeatureTree[],6,FALSE)</f>
        <v>Standardization and cleansing</v>
      </c>
      <c r="F179" s="49" t="str">
        <f>VLOOKUP(LEFT(ToolFeatures[[#This Row],[FEATURE CODE]],2),FeatureTree[],2,FALSE)</f>
        <v>Data Preparation and Cleaning</v>
      </c>
      <c r="G179" s="49" t="str">
        <f>VLOOKUP(LEFT(ToolFeatures[[#This Row],[FEATURE CODE]],5),FeatureTree[],2,FALSE)</f>
        <v>Parsing and Standardization</v>
      </c>
    </row>
    <row r="180" spans="1:7">
      <c r="A180" s="1" t="s">
        <v>183</v>
      </c>
      <c r="B180" s="1" t="s">
        <v>71</v>
      </c>
      <c r="C180" s="31" t="s">
        <v>69</v>
      </c>
      <c r="D180" s="49">
        <f>VLOOKUP(ToolFeatures[[#This Row],[FEATURE CODE]],FeatureTree[],5,FALSE)</f>
        <v>5</v>
      </c>
      <c r="E180" s="49" t="str">
        <f>VLOOKUP(ToolFeatures[[#This Row],[FEATURE CODE]],FeatureTree[],6,FALSE)</f>
        <v>Matching, linking and merging</v>
      </c>
      <c r="F180" s="49" t="str">
        <f>VLOOKUP(LEFT(ToolFeatures[[#This Row],[FEATURE CODE]],2),FeatureTree[],2,FALSE)</f>
        <v>Data Preparation and Cleaning</v>
      </c>
      <c r="G180" s="49" t="str">
        <f>VLOOKUP(LEFT(ToolFeatures[[#This Row],[FEATURE CODE]],5),FeatureTree[],2,FALSE)</f>
        <v>Identity Resolution, Linkage, Merging &amp; Consolidation</v>
      </c>
    </row>
    <row r="181" spans="1:7">
      <c r="A181" s="1" t="s">
        <v>183</v>
      </c>
      <c r="B181" s="1" t="s">
        <v>72</v>
      </c>
      <c r="C181" s="31" t="s">
        <v>75</v>
      </c>
      <c r="D181" s="49">
        <f>VLOOKUP(ToolFeatures[[#This Row],[FEATURE CODE]],FeatureTree[],5,FALSE)</f>
        <v>5</v>
      </c>
      <c r="E181" s="49" t="str">
        <f>VLOOKUP(ToolFeatures[[#This Row],[FEATURE CODE]],FeatureTree[],6,FALSE)</f>
        <v>Matching, linking and merging</v>
      </c>
      <c r="F181" s="49" t="str">
        <f>VLOOKUP(LEFT(ToolFeatures[[#This Row],[FEATURE CODE]],2),FeatureTree[],2,FALSE)</f>
        <v>Data Preparation and Cleaning</v>
      </c>
      <c r="G181" s="49" t="str">
        <f>VLOOKUP(LEFT(ToolFeatures[[#This Row],[FEATURE CODE]],5),FeatureTree[],2,FALSE)</f>
        <v>Identity Resolution, Linkage, Merging &amp; Consolidation</v>
      </c>
    </row>
    <row r="182" spans="1:7">
      <c r="A182" s="1" t="s">
        <v>183</v>
      </c>
      <c r="B182" s="1" t="s">
        <v>73</v>
      </c>
      <c r="C182" s="31" t="s">
        <v>76</v>
      </c>
      <c r="D182" s="49">
        <f>VLOOKUP(ToolFeatures[[#This Row],[FEATURE CODE]],FeatureTree[],5,FALSE)</f>
        <v>5</v>
      </c>
      <c r="E182" s="49" t="str">
        <f>VLOOKUP(ToolFeatures[[#This Row],[FEATURE CODE]],FeatureTree[],6,FALSE)</f>
        <v>Matching, linking and merging</v>
      </c>
      <c r="F182" s="49" t="str">
        <f>VLOOKUP(LEFT(ToolFeatures[[#This Row],[FEATURE CODE]],2),FeatureTree[],2,FALSE)</f>
        <v>Data Preparation and Cleaning</v>
      </c>
      <c r="G182" s="49" t="str">
        <f>VLOOKUP(LEFT(ToolFeatures[[#This Row],[FEATURE CODE]],5),FeatureTree[],2,FALSE)</f>
        <v>Identity Resolution, Linkage, Merging &amp; Consolidation</v>
      </c>
    </row>
    <row r="183" spans="1:7">
      <c r="A183" s="1" t="s">
        <v>183</v>
      </c>
      <c r="B183" s="1" t="s">
        <v>74</v>
      </c>
      <c r="C183" s="31" t="s">
        <v>77</v>
      </c>
      <c r="D183" s="49">
        <f>VLOOKUP(ToolFeatures[[#This Row],[FEATURE CODE]],FeatureTree[],5,FALSE)</f>
        <v>5</v>
      </c>
      <c r="E183" s="49" t="str">
        <f>VLOOKUP(ToolFeatures[[#This Row],[FEATURE CODE]],FeatureTree[],6,FALSE)</f>
        <v>Matching, linking and merging</v>
      </c>
      <c r="F183" s="49" t="str">
        <f>VLOOKUP(LEFT(ToolFeatures[[#This Row],[FEATURE CODE]],2),FeatureTree[],2,FALSE)</f>
        <v>Data Preparation and Cleaning</v>
      </c>
      <c r="G183" s="49" t="str">
        <f>VLOOKUP(LEFT(ToolFeatures[[#This Row],[FEATURE CODE]],5),FeatureTree[],2,FALSE)</f>
        <v>Identity Resolution, Linkage, Merging &amp; Consolidation</v>
      </c>
    </row>
    <row r="184" spans="1:7">
      <c r="A184" s="1" t="s">
        <v>183</v>
      </c>
      <c r="B184" s="1" t="s">
        <v>239</v>
      </c>
      <c r="C184" s="31" t="s">
        <v>237</v>
      </c>
      <c r="D184" s="49">
        <f>VLOOKUP(ToolFeatures[[#This Row],[FEATURE CODE]],FeatureTree[],5,FALSE)</f>
        <v>5</v>
      </c>
      <c r="E184" s="49" t="str">
        <f>VLOOKUP(ToolFeatures[[#This Row],[FEATURE CODE]],FeatureTree[],6,FALSE)</f>
        <v>Architecture and integration</v>
      </c>
      <c r="F184" s="49" t="str">
        <f>VLOOKUP(LEFT(ToolFeatures[[#This Row],[FEATURE CODE]],2),FeatureTree[],2,FALSE)</f>
        <v>Data Use</v>
      </c>
      <c r="G184" s="49" t="str">
        <f>VLOOKUP(LEFT(ToolFeatures[[#This Row],[FEATURE CODE]],5),FeatureTree[],2,FALSE)</f>
        <v>Data Mining</v>
      </c>
    </row>
    <row r="185" spans="1:7">
      <c r="A185" s="1" t="s">
        <v>295</v>
      </c>
      <c r="B185" s="1" t="s">
        <v>100</v>
      </c>
      <c r="C185" s="31" t="s">
        <v>97</v>
      </c>
      <c r="D185" s="49">
        <f>VLOOKUP(ToolFeatures[[#This Row],[FEATURE CODE]],FeatureTree[],5,FALSE)</f>
        <v>3</v>
      </c>
      <c r="E185" s="49" t="str">
        <f>VLOOKUP(ToolFeatures[[#This Row],[FEATURE CODE]],FeatureTree[],6,FALSE)</f>
        <v>Connectivity</v>
      </c>
      <c r="F185" s="49" t="str">
        <f>VLOOKUP(LEFT(ToolFeatures[[#This Row],[FEATURE CODE]],2),FeatureTree[],2,FALSE)</f>
        <v>Data Ingestion and Integration</v>
      </c>
      <c r="G185" s="49" t="str">
        <f>VLOOKUP(LEFT(ToolFeatures[[#This Row],[FEATURE CODE]],5),FeatureTree[],2,FALSE)</f>
        <v>Data Consolidation</v>
      </c>
    </row>
    <row r="186" spans="1:7">
      <c r="A186" s="1" t="s">
        <v>295</v>
      </c>
      <c r="B186" s="1" t="s">
        <v>34</v>
      </c>
      <c r="C186" s="31" t="s">
        <v>36</v>
      </c>
      <c r="D186" s="49">
        <f>VLOOKUP(ToolFeatures[[#This Row],[FEATURE CODE]],FeatureTree[],5,FALSE)</f>
        <v>5</v>
      </c>
      <c r="E186" s="49" t="str">
        <f>VLOOKUP(ToolFeatures[[#This Row],[FEATURE CODE]],FeatureTree[],6,FALSE)</f>
        <v>Architecture and integration</v>
      </c>
      <c r="F186" s="49" t="str">
        <f>VLOOKUP(LEFT(ToolFeatures[[#This Row],[FEATURE CODE]],2),FeatureTree[],2,FALSE)</f>
        <v>Data Ingestion and Integration</v>
      </c>
      <c r="G186" s="49" t="str">
        <f>VLOOKUP(LEFT(ToolFeatures[[#This Row],[FEATURE CODE]],5),FeatureTree[],2,FALSE)</f>
        <v>Data Consolidation</v>
      </c>
    </row>
    <row r="187" spans="1:7">
      <c r="A187" s="1" t="s">
        <v>295</v>
      </c>
      <c r="B187" s="1" t="s">
        <v>59</v>
      </c>
      <c r="C187" s="31" t="s">
        <v>41</v>
      </c>
      <c r="D187" s="49">
        <f>VLOOKUP(ToolFeatures[[#This Row],[FEATURE CODE]],FeatureTree[],5,FALSE)</f>
        <v>5</v>
      </c>
      <c r="E187" s="49" t="str">
        <f>VLOOKUP(ToolFeatures[[#This Row],[FEATURE CODE]],FeatureTree[],6,FALSE)</f>
        <v>Standardization and cleansing</v>
      </c>
      <c r="F187" s="49" t="str">
        <f>VLOOKUP(LEFT(ToolFeatures[[#This Row],[FEATURE CODE]],2),FeatureTree[],2,FALSE)</f>
        <v>Data Preparation and Cleaning</v>
      </c>
      <c r="G187" s="49" t="str">
        <f>VLOOKUP(LEFT(ToolFeatures[[#This Row],[FEATURE CODE]],5),FeatureTree[],2,FALSE)</f>
        <v>Parsing and Standardization</v>
      </c>
    </row>
    <row r="188" spans="1:7">
      <c r="A188" s="1" t="s">
        <v>295</v>
      </c>
      <c r="B188" s="1" t="s">
        <v>67</v>
      </c>
      <c r="C188" s="31" t="s">
        <v>46</v>
      </c>
      <c r="D188" s="49">
        <f>VLOOKUP(ToolFeatures[[#This Row],[FEATURE CODE]],FeatureTree[],5,FALSE)</f>
        <v>5</v>
      </c>
      <c r="E188" s="49" t="str">
        <f>VLOOKUP(ToolFeatures[[#This Row],[FEATURE CODE]],FeatureTree[],6,FALSE)</f>
        <v>Matching, linking and merging</v>
      </c>
      <c r="F188" s="49" t="str">
        <f>VLOOKUP(LEFT(ToolFeatures[[#This Row],[FEATURE CODE]],2),FeatureTree[],2,FALSE)</f>
        <v>Data Preparation and Cleaning</v>
      </c>
      <c r="G188" s="49" t="str">
        <f>VLOOKUP(LEFT(ToolFeatures[[#This Row],[FEATURE CODE]],5),FeatureTree[],2,FALSE)</f>
        <v>Identity Resolution, Linkage, Merging &amp; Consolidation</v>
      </c>
    </row>
    <row r="189" spans="1:7">
      <c r="A189" s="1" t="s">
        <v>295</v>
      </c>
      <c r="B189" s="1" t="s">
        <v>71</v>
      </c>
      <c r="C189" s="31" t="s">
        <v>69</v>
      </c>
      <c r="D189" s="49">
        <f>VLOOKUP(ToolFeatures[[#This Row],[FEATURE CODE]],FeatureTree[],5,FALSE)</f>
        <v>5</v>
      </c>
      <c r="E189" s="49" t="str">
        <f>VLOOKUP(ToolFeatures[[#This Row],[FEATURE CODE]],FeatureTree[],6,FALSE)</f>
        <v>Matching, linking and merging</v>
      </c>
      <c r="F189" s="49" t="str">
        <f>VLOOKUP(LEFT(ToolFeatures[[#This Row],[FEATURE CODE]],2),FeatureTree[],2,FALSE)</f>
        <v>Data Preparation and Cleaning</v>
      </c>
      <c r="G189" s="49" t="str">
        <f>VLOOKUP(LEFT(ToolFeatures[[#This Row],[FEATURE CODE]],5),FeatureTree[],2,FALSE)</f>
        <v>Identity Resolution, Linkage, Merging &amp; Consolidation</v>
      </c>
    </row>
    <row r="190" spans="1:7">
      <c r="A190" s="1" t="s">
        <v>295</v>
      </c>
      <c r="B190" s="1" t="s">
        <v>72</v>
      </c>
      <c r="C190" s="31" t="s">
        <v>75</v>
      </c>
      <c r="D190" s="49">
        <f>VLOOKUP(ToolFeatures[[#This Row],[FEATURE CODE]],FeatureTree[],5,FALSE)</f>
        <v>5</v>
      </c>
      <c r="E190" s="49" t="str">
        <f>VLOOKUP(ToolFeatures[[#This Row],[FEATURE CODE]],FeatureTree[],6,FALSE)</f>
        <v>Matching, linking and merging</v>
      </c>
      <c r="F190" s="49" t="str">
        <f>VLOOKUP(LEFT(ToolFeatures[[#This Row],[FEATURE CODE]],2),FeatureTree[],2,FALSE)</f>
        <v>Data Preparation and Cleaning</v>
      </c>
      <c r="G190" s="49" t="str">
        <f>VLOOKUP(LEFT(ToolFeatures[[#This Row],[FEATURE CODE]],5),FeatureTree[],2,FALSE)</f>
        <v>Identity Resolution, Linkage, Merging &amp; Consolidation</v>
      </c>
    </row>
    <row r="191" spans="1:7">
      <c r="A191" s="1" t="s">
        <v>184</v>
      </c>
      <c r="B191" s="1" t="s">
        <v>17</v>
      </c>
      <c r="C191" s="31" t="s">
        <v>16</v>
      </c>
      <c r="D191" s="49">
        <f>VLOOKUP(ToolFeatures[[#This Row],[FEATURE CODE]],FeatureTree[],5,FALSE)</f>
        <v>5</v>
      </c>
      <c r="E191" s="49" t="str">
        <f>VLOOKUP(ToolFeatures[[#This Row],[FEATURE CODE]],FeatureTree[],6,FALSE)</f>
        <v>Data profiling, measurement and visualization</v>
      </c>
      <c r="F191" s="49" t="str">
        <f>VLOOKUP(LEFT(ToolFeatures[[#This Row],[FEATURE CODE]],2),FeatureTree[],2,FALSE)</f>
        <v>Data Profiling, Exploration/Pattern Detection</v>
      </c>
      <c r="G191" s="49" t="str">
        <f>VLOOKUP(LEFT(ToolFeatures[[#This Row],[FEATURE CODE]],5),FeatureTree[],2,FALSE)</f>
        <v>Relationship discovery</v>
      </c>
    </row>
    <row r="192" spans="1:7">
      <c r="A192" s="1" t="s">
        <v>184</v>
      </c>
      <c r="B192" s="1" t="s">
        <v>18</v>
      </c>
      <c r="C192" s="31" t="s">
        <v>164</v>
      </c>
      <c r="D192" s="49">
        <f>VLOOKUP(ToolFeatures[[#This Row],[FEATURE CODE]],FeatureTree[],5,FALSE)</f>
        <v>5</v>
      </c>
      <c r="E192" s="49" t="str">
        <f>VLOOKUP(ToolFeatures[[#This Row],[FEATURE CODE]],FeatureTree[],6,FALSE)</f>
        <v>Data profiling, measurement and visualization</v>
      </c>
      <c r="F192" s="49" t="str">
        <f>VLOOKUP(LEFT(ToolFeatures[[#This Row],[FEATURE CODE]],2),FeatureTree[],2,FALSE)</f>
        <v>Data Profiling, Exploration/Pattern Detection</v>
      </c>
      <c r="G192" s="49" t="str">
        <f>VLOOKUP(LEFT(ToolFeatures[[#This Row],[FEATURE CODE]],5),FeatureTree[],2,FALSE)</f>
        <v>Relationship discovery</v>
      </c>
    </row>
    <row r="193" spans="1:7" ht="30">
      <c r="A193" s="1" t="s">
        <v>184</v>
      </c>
      <c r="B193" s="1" t="s">
        <v>19</v>
      </c>
      <c r="C193" s="31" t="s">
        <v>20</v>
      </c>
      <c r="D193" s="49">
        <f>VLOOKUP(ToolFeatures[[#This Row],[FEATURE CODE]],FeatureTree[],5,FALSE)</f>
        <v>5</v>
      </c>
      <c r="E193" s="49" t="str">
        <f>VLOOKUP(ToolFeatures[[#This Row],[FEATURE CODE]],FeatureTree[],6,FALSE)</f>
        <v>Data profiling, measurement and visualization</v>
      </c>
      <c r="F193" s="49" t="str">
        <f>VLOOKUP(LEFT(ToolFeatures[[#This Row],[FEATURE CODE]],2),FeatureTree[],2,FALSE)</f>
        <v>Data Profiling, Exploration/Pattern Detection</v>
      </c>
      <c r="G193" s="49" t="str">
        <f>VLOOKUP(LEFT(ToolFeatures[[#This Row],[FEATURE CODE]],5),FeatureTree[],2,FALSE)</f>
        <v>Relationship discovery</v>
      </c>
    </row>
    <row r="194" spans="1:7">
      <c r="A194" s="1" t="s">
        <v>184</v>
      </c>
      <c r="B194" s="1" t="s">
        <v>21</v>
      </c>
      <c r="C194" s="31" t="s">
        <v>24</v>
      </c>
      <c r="D194" s="49">
        <f>VLOOKUP(ToolFeatures[[#This Row],[FEATURE CODE]],FeatureTree[],5,FALSE)</f>
        <v>5</v>
      </c>
      <c r="E194" s="49" t="str">
        <f>VLOOKUP(ToolFeatures[[#This Row],[FEATURE CODE]],FeatureTree[],6,FALSE)</f>
        <v>Data profiling, measurement and visualization</v>
      </c>
      <c r="F194" s="49" t="str">
        <f>VLOOKUP(LEFT(ToolFeatures[[#This Row],[FEATURE CODE]],2),FeatureTree[],2,FALSE)</f>
        <v>Data Profiling, Exploration/Pattern Detection</v>
      </c>
      <c r="G194" s="49" t="str">
        <f>VLOOKUP(LEFT(ToolFeatures[[#This Row],[FEATURE CODE]],5),FeatureTree[],2,FALSE)</f>
        <v>Content discovery</v>
      </c>
    </row>
    <row r="195" spans="1:7">
      <c r="A195" s="1" t="s">
        <v>184</v>
      </c>
      <c r="B195" s="1" t="s">
        <v>22</v>
      </c>
      <c r="C195" s="31" t="s">
        <v>25</v>
      </c>
      <c r="D195" s="49">
        <f>VLOOKUP(ToolFeatures[[#This Row],[FEATURE CODE]],FeatureTree[],5,FALSE)</f>
        <v>5</v>
      </c>
      <c r="E195" s="49" t="str">
        <f>VLOOKUP(ToolFeatures[[#This Row],[FEATURE CODE]],FeatureTree[],6,FALSE)</f>
        <v>Data profiling, measurement and visualization</v>
      </c>
      <c r="F195" s="49" t="str">
        <f>VLOOKUP(LEFT(ToolFeatures[[#This Row],[FEATURE CODE]],2),FeatureTree[],2,FALSE)</f>
        <v>Data Profiling, Exploration/Pattern Detection</v>
      </c>
      <c r="G195" s="49" t="str">
        <f>VLOOKUP(LEFT(ToolFeatures[[#This Row],[FEATURE CODE]],5),FeatureTree[],2,FALSE)</f>
        <v>Content discovery</v>
      </c>
    </row>
    <row r="196" spans="1:7">
      <c r="A196" s="1" t="s">
        <v>184</v>
      </c>
      <c r="B196" s="1" t="s">
        <v>23</v>
      </c>
      <c r="C196" s="31" t="s">
        <v>26</v>
      </c>
      <c r="D196" s="49">
        <f>VLOOKUP(ToolFeatures[[#This Row],[FEATURE CODE]],FeatureTree[],5,FALSE)</f>
        <v>5</v>
      </c>
      <c r="E196" s="49" t="str">
        <f>VLOOKUP(ToolFeatures[[#This Row],[FEATURE CODE]],FeatureTree[],6,FALSE)</f>
        <v>Data profiling, measurement and visualization</v>
      </c>
      <c r="F196" s="49" t="str">
        <f>VLOOKUP(LEFT(ToolFeatures[[#This Row],[FEATURE CODE]],2),FeatureTree[],2,FALSE)</f>
        <v>Data Profiling, Exploration/Pattern Detection</v>
      </c>
      <c r="G196" s="49" t="str">
        <f>VLOOKUP(LEFT(ToolFeatures[[#This Row],[FEATURE CODE]],5),FeatureTree[],2,FALSE)</f>
        <v>Content discovery</v>
      </c>
    </row>
    <row r="197" spans="1:7" ht="30">
      <c r="A197" s="1" t="s">
        <v>184</v>
      </c>
      <c r="B197" s="1" t="s">
        <v>27</v>
      </c>
      <c r="C197" s="31" t="s">
        <v>30</v>
      </c>
      <c r="D197" s="49">
        <f>VLOOKUP(ToolFeatures[[#This Row],[FEATURE CODE]],FeatureTree[],5,FALSE)</f>
        <v>5</v>
      </c>
      <c r="E197" s="49" t="str">
        <f>VLOOKUP(ToolFeatures[[#This Row],[FEATURE CODE]],FeatureTree[],6,FALSE)</f>
        <v>Data profiling, measurement and visualization</v>
      </c>
      <c r="F197" s="49" t="str">
        <f>VLOOKUP(LEFT(ToolFeatures[[#This Row],[FEATURE CODE]],2),FeatureTree[],2,FALSE)</f>
        <v>Data Profiling, Exploration/Pattern Detection</v>
      </c>
      <c r="G197" s="49" t="str">
        <f>VLOOKUP(LEFT(ToolFeatures[[#This Row],[FEATURE CODE]],5),FeatureTree[],2,FALSE)</f>
        <v>Structure discovery</v>
      </c>
    </row>
    <row r="198" spans="1:7">
      <c r="A198" s="1" t="s">
        <v>184</v>
      </c>
      <c r="B198" s="1" t="s">
        <v>28</v>
      </c>
      <c r="C198" s="31" t="s">
        <v>31</v>
      </c>
      <c r="D198" s="49">
        <f>VLOOKUP(ToolFeatures[[#This Row],[FEATURE CODE]],FeatureTree[],5,FALSE)</f>
        <v>5</v>
      </c>
      <c r="E198" s="49" t="str">
        <f>VLOOKUP(ToolFeatures[[#This Row],[FEATURE CODE]],FeatureTree[],6,FALSE)</f>
        <v>Data profiling, measurement and visualization</v>
      </c>
      <c r="F198" s="49" t="str">
        <f>VLOOKUP(LEFT(ToolFeatures[[#This Row],[FEATURE CODE]],2),FeatureTree[],2,FALSE)</f>
        <v>Data Profiling, Exploration/Pattern Detection</v>
      </c>
      <c r="G198" s="49" t="str">
        <f>VLOOKUP(LEFT(ToolFeatures[[#This Row],[FEATURE CODE]],5),FeatureTree[],2,FALSE)</f>
        <v>Structure discovery</v>
      </c>
    </row>
    <row r="199" spans="1:7">
      <c r="A199" s="1" t="s">
        <v>184</v>
      </c>
      <c r="B199" s="1" t="s">
        <v>29</v>
      </c>
      <c r="C199" s="31" t="s">
        <v>32</v>
      </c>
      <c r="D199" s="49">
        <f>VLOOKUP(ToolFeatures[[#This Row],[FEATURE CODE]],FeatureTree[],5,FALSE)</f>
        <v>5</v>
      </c>
      <c r="E199" s="49" t="str">
        <f>VLOOKUP(ToolFeatures[[#This Row],[FEATURE CODE]],FeatureTree[],6,FALSE)</f>
        <v>Data profiling, measurement and visualization</v>
      </c>
      <c r="F199" s="49" t="str">
        <f>VLOOKUP(LEFT(ToolFeatures[[#This Row],[FEATURE CODE]],2),FeatureTree[],2,FALSE)</f>
        <v>Data Profiling, Exploration/Pattern Detection</v>
      </c>
      <c r="G199" s="49" t="str">
        <f>VLOOKUP(LEFT(ToolFeatures[[#This Row],[FEATURE CODE]],5),FeatureTree[],2,FALSE)</f>
        <v>Structure discovery</v>
      </c>
    </row>
    <row r="200" spans="1:7">
      <c r="A200" s="1" t="s">
        <v>184</v>
      </c>
      <c r="B200" s="1" t="s">
        <v>102</v>
      </c>
      <c r="C200" s="31" t="s">
        <v>99</v>
      </c>
      <c r="D200" s="49">
        <f>VLOOKUP(ToolFeatures[[#This Row],[FEATURE CODE]],FeatureTree[],5,FALSE)</f>
        <v>5</v>
      </c>
      <c r="E200" s="49" t="str">
        <f>VLOOKUP(ToolFeatures[[#This Row],[FEATURE CODE]],FeatureTree[],6,FALSE)</f>
        <v>Connectivity</v>
      </c>
      <c r="F200" s="49" t="str">
        <f>VLOOKUP(LEFT(ToolFeatures[[#This Row],[FEATURE CODE]],2),FeatureTree[],2,FALSE)</f>
        <v>Data Ingestion and Integration</v>
      </c>
      <c r="G200" s="49" t="str">
        <f>VLOOKUP(LEFT(ToolFeatures[[#This Row],[FEATURE CODE]],5),FeatureTree[],2,FALSE)</f>
        <v>Data Consolidation</v>
      </c>
    </row>
    <row r="201" spans="1:7">
      <c r="A201" s="1" t="s">
        <v>184</v>
      </c>
      <c r="B201" s="1" t="s">
        <v>33</v>
      </c>
      <c r="C201" s="31" t="s">
        <v>223</v>
      </c>
      <c r="D201" s="49">
        <f>VLOOKUP(ToolFeatures[[#This Row],[FEATURE CODE]],FeatureTree[],5,FALSE)</f>
        <v>5</v>
      </c>
      <c r="E201" s="49" t="str">
        <f>VLOOKUP(ToolFeatures[[#This Row],[FEATURE CODE]],FeatureTree[],6,FALSE)</f>
        <v>Parsing</v>
      </c>
      <c r="F201" s="49" t="str">
        <f>VLOOKUP(LEFT(ToolFeatures[[#This Row],[FEATURE CODE]],2),FeatureTree[],2,FALSE)</f>
        <v>Data Ingestion and Integration</v>
      </c>
      <c r="G201" s="49" t="str">
        <f>VLOOKUP(LEFT(ToolFeatures[[#This Row],[FEATURE CODE]],5),FeatureTree[],2,FALSE)</f>
        <v>Data Consolidation</v>
      </c>
    </row>
    <row r="202" spans="1:7">
      <c r="A202" s="1" t="s">
        <v>184</v>
      </c>
      <c r="B202" s="1" t="s">
        <v>34</v>
      </c>
      <c r="C202" s="31" t="s">
        <v>36</v>
      </c>
      <c r="D202" s="49">
        <f>VLOOKUP(ToolFeatures[[#This Row],[FEATURE CODE]],FeatureTree[],5,FALSE)</f>
        <v>5</v>
      </c>
      <c r="E202" s="49" t="str">
        <f>VLOOKUP(ToolFeatures[[#This Row],[FEATURE CODE]],FeatureTree[],6,FALSE)</f>
        <v>Architecture and integration</v>
      </c>
      <c r="F202" s="49" t="str">
        <f>VLOOKUP(LEFT(ToolFeatures[[#This Row],[FEATURE CODE]],2),FeatureTree[],2,FALSE)</f>
        <v>Data Ingestion and Integration</v>
      </c>
      <c r="G202" s="49" t="str">
        <f>VLOOKUP(LEFT(ToolFeatures[[#This Row],[FEATURE CODE]],5),FeatureTree[],2,FALSE)</f>
        <v>Data Consolidation</v>
      </c>
    </row>
    <row r="203" spans="1:7" ht="30">
      <c r="A203" s="1" t="s">
        <v>184</v>
      </c>
      <c r="B203" s="1" t="s">
        <v>47</v>
      </c>
      <c r="C203" s="31" t="s">
        <v>94</v>
      </c>
      <c r="D203" s="49">
        <f>VLOOKUP(ToolFeatures[[#This Row],[FEATURE CODE]],FeatureTree[],5,FALSE)</f>
        <v>5</v>
      </c>
      <c r="E203" s="49" t="str">
        <f>VLOOKUP(ToolFeatures[[#This Row],[FEATURE CODE]],FeatureTree[],6,FALSE)</f>
        <v>Issue resolution and workflow</v>
      </c>
      <c r="F203" s="49" t="str">
        <f>VLOOKUP(LEFT(ToolFeatures[[#This Row],[FEATURE CODE]],2),FeatureTree[],2,FALSE)</f>
        <v>Data Ingestion and Integration</v>
      </c>
      <c r="G203" s="49" t="str">
        <f>VLOOKUP(LEFT(ToolFeatures[[#This Row],[FEATURE CODE]],5),FeatureTree[],2,FALSE)</f>
        <v>Data Propagation</v>
      </c>
    </row>
    <row r="204" spans="1:7">
      <c r="A204" s="1" t="s">
        <v>184</v>
      </c>
      <c r="B204" s="1" t="s">
        <v>56</v>
      </c>
      <c r="C204" s="31" t="s">
        <v>39</v>
      </c>
      <c r="D204" s="49">
        <f>VLOOKUP(ToolFeatures[[#This Row],[FEATURE CODE]],FeatureTree[],5,FALSE)</f>
        <v>5</v>
      </c>
      <c r="E204" s="49" t="str">
        <f>VLOOKUP(ToolFeatures[[#This Row],[FEATURE CODE]],FeatureTree[],6,FALSE)</f>
        <v>Issue resolution and workflow</v>
      </c>
      <c r="F204" s="49" t="str">
        <f>VLOOKUP(LEFT(ToolFeatures[[#This Row],[FEATURE CODE]],2),FeatureTree[],2,FALSE)</f>
        <v>Data Ingestion and Integration</v>
      </c>
      <c r="G204" s="49" t="str">
        <f>VLOOKUP(LEFT(ToolFeatures[[#This Row],[FEATURE CODE]],5),FeatureTree[],2,FALSE)</f>
        <v>Data Federation</v>
      </c>
    </row>
    <row r="205" spans="1:7">
      <c r="A205" s="1" t="s">
        <v>184</v>
      </c>
      <c r="B205" s="1" t="s">
        <v>58</v>
      </c>
      <c r="C205" s="31" t="s">
        <v>40</v>
      </c>
      <c r="D205" s="49">
        <f>VLOOKUP(ToolFeatures[[#This Row],[FEATURE CODE]],FeatureTree[],5,FALSE)</f>
        <v>5</v>
      </c>
      <c r="E205" s="49" t="str">
        <f>VLOOKUP(ToolFeatures[[#This Row],[FEATURE CODE]],FeatureTree[],6,FALSE)</f>
        <v>Standardization and cleansing</v>
      </c>
      <c r="F205" s="49" t="str">
        <f>VLOOKUP(LEFT(ToolFeatures[[#This Row],[FEATURE CODE]],2),FeatureTree[],2,FALSE)</f>
        <v>Data Preparation and Cleaning</v>
      </c>
      <c r="G205" s="49" t="str">
        <f>VLOOKUP(LEFT(ToolFeatures[[#This Row],[FEATURE CODE]],5),FeatureTree[],2,FALSE)</f>
        <v>Parsing and Standardization</v>
      </c>
    </row>
    <row r="206" spans="1:7">
      <c r="A206" s="1" t="s">
        <v>184</v>
      </c>
      <c r="B206" s="1" t="s">
        <v>59</v>
      </c>
      <c r="C206" s="31" t="s">
        <v>41</v>
      </c>
      <c r="D206" s="49">
        <f>VLOOKUP(ToolFeatures[[#This Row],[FEATURE CODE]],FeatureTree[],5,FALSE)</f>
        <v>5</v>
      </c>
      <c r="E206" s="49" t="str">
        <f>VLOOKUP(ToolFeatures[[#This Row],[FEATURE CODE]],FeatureTree[],6,FALSE)</f>
        <v>Standardization and cleansing</v>
      </c>
      <c r="F206" s="49" t="str">
        <f>VLOOKUP(LEFT(ToolFeatures[[#This Row],[FEATURE CODE]],2),FeatureTree[],2,FALSE)</f>
        <v>Data Preparation and Cleaning</v>
      </c>
      <c r="G206" s="49" t="str">
        <f>VLOOKUP(LEFT(ToolFeatures[[#This Row],[FEATURE CODE]],5),FeatureTree[],2,FALSE)</f>
        <v>Parsing and Standardization</v>
      </c>
    </row>
    <row r="207" spans="1:7">
      <c r="A207" s="1" t="s">
        <v>184</v>
      </c>
      <c r="B207" s="1" t="s">
        <v>60</v>
      </c>
      <c r="C207" s="31" t="s">
        <v>42</v>
      </c>
      <c r="D207" s="49">
        <f>VLOOKUP(ToolFeatures[[#This Row],[FEATURE CODE]],FeatureTree[],5,FALSE)</f>
        <v>5</v>
      </c>
      <c r="E207" s="49" t="str">
        <f>VLOOKUP(ToolFeatures[[#This Row],[FEATURE CODE]],FeatureTree[],6,FALSE)</f>
        <v>Data curation and enrichment</v>
      </c>
      <c r="F207" s="49" t="str">
        <f>VLOOKUP(LEFT(ToolFeatures[[#This Row],[FEATURE CODE]],2),FeatureTree[],2,FALSE)</f>
        <v>Data Preparation and Cleaning</v>
      </c>
      <c r="G207" s="49" t="str">
        <f>VLOOKUP(LEFT(ToolFeatures[[#This Row],[FEATURE CODE]],5),FeatureTree[],2,FALSE)</f>
        <v>Parsing and Standardization</v>
      </c>
    </row>
    <row r="208" spans="1:7">
      <c r="A208" s="1" t="s">
        <v>184</v>
      </c>
      <c r="B208" s="1" t="s">
        <v>61</v>
      </c>
      <c r="C208" s="31" t="s">
        <v>43</v>
      </c>
      <c r="D208" s="49">
        <f>VLOOKUP(ToolFeatures[[#This Row],[FEATURE CODE]],FeatureTree[],5,FALSE)</f>
        <v>5</v>
      </c>
      <c r="E208" s="49" t="str">
        <f>VLOOKUP(ToolFeatures[[#This Row],[FEATURE CODE]],FeatureTree[],6,FALSE)</f>
        <v>Standardization and cleansing</v>
      </c>
      <c r="F208" s="49" t="str">
        <f>VLOOKUP(LEFT(ToolFeatures[[#This Row],[FEATURE CODE]],2),FeatureTree[],2,FALSE)</f>
        <v>Data Preparation and Cleaning</v>
      </c>
      <c r="G208" s="49" t="str">
        <f>VLOOKUP(LEFT(ToolFeatures[[#This Row],[FEATURE CODE]],5),FeatureTree[],2,FALSE)</f>
        <v>Parsing and Standardization</v>
      </c>
    </row>
    <row r="209" spans="1:7">
      <c r="A209" s="1" t="s">
        <v>184</v>
      </c>
      <c r="B209" s="1" t="s">
        <v>62</v>
      </c>
      <c r="C209" s="31" t="s">
        <v>44</v>
      </c>
      <c r="D209" s="49">
        <f>VLOOKUP(ToolFeatures[[#This Row],[FEATURE CODE]],FeatureTree[],5,FALSE)</f>
        <v>5</v>
      </c>
      <c r="E209" s="49" t="str">
        <f>VLOOKUP(ToolFeatures[[#This Row],[FEATURE CODE]],FeatureTree[],6,FALSE)</f>
        <v>Address validation / geocoding</v>
      </c>
      <c r="F209" s="49" t="str">
        <f>VLOOKUP(LEFT(ToolFeatures[[#This Row],[FEATURE CODE]],2),FeatureTree[],2,FALSE)</f>
        <v>Data Preparation and Cleaning</v>
      </c>
      <c r="G209" s="49" t="str">
        <f>VLOOKUP(LEFT(ToolFeatures[[#This Row],[FEATURE CODE]],5),FeatureTree[],2,FALSE)</f>
        <v>Parsing and Standardization</v>
      </c>
    </row>
    <row r="210" spans="1:7">
      <c r="A210" s="1" t="s">
        <v>184</v>
      </c>
      <c r="B210" s="1" t="s">
        <v>63</v>
      </c>
      <c r="C210" s="31" t="s">
        <v>45</v>
      </c>
      <c r="D210" s="49">
        <f>VLOOKUP(ToolFeatures[[#This Row],[FEATURE CODE]],FeatureTree[],5,FALSE)</f>
        <v>5</v>
      </c>
      <c r="E210" s="49" t="str">
        <f>VLOOKUP(ToolFeatures[[#This Row],[FEATURE CODE]],FeatureTree[],6,FALSE)</f>
        <v>Standardization and cleansing</v>
      </c>
      <c r="F210" s="49" t="str">
        <f>VLOOKUP(LEFT(ToolFeatures[[#This Row],[FEATURE CODE]],2),FeatureTree[],2,FALSE)</f>
        <v>Data Preparation and Cleaning</v>
      </c>
      <c r="G210" s="49" t="str">
        <f>VLOOKUP(LEFT(ToolFeatures[[#This Row],[FEATURE CODE]],5),FeatureTree[],2,FALSE)</f>
        <v>Parsing and Standardization</v>
      </c>
    </row>
    <row r="211" spans="1:7">
      <c r="A211" s="1" t="s">
        <v>184</v>
      </c>
      <c r="B211" s="1" t="s">
        <v>79</v>
      </c>
      <c r="C211" s="31" t="s">
        <v>70</v>
      </c>
      <c r="D211" s="49">
        <f>VLOOKUP(ToolFeatures[[#This Row],[FEATURE CODE]],FeatureTree[],5,FALSE)</f>
        <v>5</v>
      </c>
      <c r="E211" s="49" t="str">
        <f>VLOOKUP(ToolFeatures[[#This Row],[FEATURE CODE]],FeatureTree[],6,FALSE)</f>
        <v>Data curation and enrichment</v>
      </c>
      <c r="F211" s="49" t="str">
        <f>VLOOKUP(LEFT(ToolFeatures[[#This Row],[FEATURE CODE]],2),FeatureTree[],2,FALSE)</f>
        <v>Data Preparation and Cleaning</v>
      </c>
      <c r="G211" s="49" t="str">
        <f>VLOOKUP(LEFT(ToolFeatures[[#This Row],[FEATURE CODE]],5),FeatureTree[],2,FALSE)</f>
        <v>Parsing and Standardization</v>
      </c>
    </row>
    <row r="212" spans="1:7">
      <c r="A212" s="1" t="s">
        <v>184</v>
      </c>
      <c r="B212" s="1" t="s">
        <v>67</v>
      </c>
      <c r="C212" s="31" t="s">
        <v>46</v>
      </c>
      <c r="D212" s="49">
        <f>VLOOKUP(ToolFeatures[[#This Row],[FEATURE CODE]],FeatureTree[],5,FALSE)</f>
        <v>5</v>
      </c>
      <c r="E212" s="49" t="str">
        <f>VLOOKUP(ToolFeatures[[#This Row],[FEATURE CODE]],FeatureTree[],6,FALSE)</f>
        <v>Matching, linking and merging</v>
      </c>
      <c r="F212" s="49" t="str">
        <f>VLOOKUP(LEFT(ToolFeatures[[#This Row],[FEATURE CODE]],2),FeatureTree[],2,FALSE)</f>
        <v>Data Preparation and Cleaning</v>
      </c>
      <c r="G212" s="49" t="str">
        <f>VLOOKUP(LEFT(ToolFeatures[[#This Row],[FEATURE CODE]],5),FeatureTree[],2,FALSE)</f>
        <v>Identity Resolution, Linkage, Merging &amp; Consolidation</v>
      </c>
    </row>
    <row r="213" spans="1:7">
      <c r="A213" s="1" t="s">
        <v>184</v>
      </c>
      <c r="B213" s="1" t="s">
        <v>68</v>
      </c>
      <c r="C213" s="31" t="s">
        <v>78</v>
      </c>
      <c r="D213" s="49">
        <f>VLOOKUP(ToolFeatures[[#This Row],[FEATURE CODE]],FeatureTree[],5,FALSE)</f>
        <v>5</v>
      </c>
      <c r="E213" s="49" t="str">
        <f>VLOOKUP(ToolFeatures[[#This Row],[FEATURE CODE]],FeatureTree[],6,FALSE)</f>
        <v>Data curation and enrichment</v>
      </c>
      <c r="F213" s="49" t="str">
        <f>VLOOKUP(LEFT(ToolFeatures[[#This Row],[FEATURE CODE]],2),FeatureTree[],2,FALSE)</f>
        <v>Data Preparation and Cleaning</v>
      </c>
      <c r="G213" s="49" t="str">
        <f>VLOOKUP(LEFT(ToolFeatures[[#This Row],[FEATURE CODE]],5),FeatureTree[],2,FALSE)</f>
        <v>Identity Resolution, Linkage, Merging &amp; Consolidation</v>
      </c>
    </row>
    <row r="214" spans="1:7">
      <c r="A214" s="1" t="s">
        <v>184</v>
      </c>
      <c r="B214" s="1" t="s">
        <v>71</v>
      </c>
      <c r="C214" s="31" t="s">
        <v>69</v>
      </c>
      <c r="D214" s="49">
        <f>VLOOKUP(ToolFeatures[[#This Row],[FEATURE CODE]],FeatureTree[],5,FALSE)</f>
        <v>5</v>
      </c>
      <c r="E214" s="49" t="str">
        <f>VLOOKUP(ToolFeatures[[#This Row],[FEATURE CODE]],FeatureTree[],6,FALSE)</f>
        <v>Matching, linking and merging</v>
      </c>
      <c r="F214" s="49" t="str">
        <f>VLOOKUP(LEFT(ToolFeatures[[#This Row],[FEATURE CODE]],2),FeatureTree[],2,FALSE)</f>
        <v>Data Preparation and Cleaning</v>
      </c>
      <c r="G214" s="49" t="str">
        <f>VLOOKUP(LEFT(ToolFeatures[[#This Row],[FEATURE CODE]],5),FeatureTree[],2,FALSE)</f>
        <v>Identity Resolution, Linkage, Merging &amp; Consolidation</v>
      </c>
    </row>
    <row r="215" spans="1:7">
      <c r="A215" s="1" t="s">
        <v>184</v>
      </c>
      <c r="B215" s="1" t="s">
        <v>72</v>
      </c>
      <c r="C215" s="31" t="s">
        <v>75</v>
      </c>
      <c r="D215" s="49">
        <f>VLOOKUP(ToolFeatures[[#This Row],[FEATURE CODE]],FeatureTree[],5,FALSE)</f>
        <v>5</v>
      </c>
      <c r="E215" s="49" t="str">
        <f>VLOOKUP(ToolFeatures[[#This Row],[FEATURE CODE]],FeatureTree[],6,FALSE)</f>
        <v>Matching, linking and merging</v>
      </c>
      <c r="F215" s="49" t="str">
        <f>VLOOKUP(LEFT(ToolFeatures[[#This Row],[FEATURE CODE]],2),FeatureTree[],2,FALSE)</f>
        <v>Data Preparation and Cleaning</v>
      </c>
      <c r="G215" s="49" t="str">
        <f>VLOOKUP(LEFT(ToolFeatures[[#This Row],[FEATURE CODE]],5),FeatureTree[],2,FALSE)</f>
        <v>Identity Resolution, Linkage, Merging &amp; Consolidation</v>
      </c>
    </row>
    <row r="216" spans="1:7">
      <c r="A216" s="1" t="s">
        <v>184</v>
      </c>
      <c r="B216" s="1" t="s">
        <v>73</v>
      </c>
      <c r="C216" s="31" t="s">
        <v>76</v>
      </c>
      <c r="D216" s="49">
        <f>VLOOKUP(ToolFeatures[[#This Row],[FEATURE CODE]],FeatureTree[],5,FALSE)</f>
        <v>5</v>
      </c>
      <c r="E216" s="49" t="str">
        <f>VLOOKUP(ToolFeatures[[#This Row],[FEATURE CODE]],FeatureTree[],6,FALSE)</f>
        <v>Matching, linking and merging</v>
      </c>
      <c r="F216" s="49" t="str">
        <f>VLOOKUP(LEFT(ToolFeatures[[#This Row],[FEATURE CODE]],2),FeatureTree[],2,FALSE)</f>
        <v>Data Preparation and Cleaning</v>
      </c>
      <c r="G216" s="49" t="str">
        <f>VLOOKUP(LEFT(ToolFeatures[[#This Row],[FEATURE CODE]],5),FeatureTree[],2,FALSE)</f>
        <v>Identity Resolution, Linkage, Merging &amp; Consolidation</v>
      </c>
    </row>
    <row r="217" spans="1:7">
      <c r="A217" s="1" t="s">
        <v>184</v>
      </c>
      <c r="B217" s="1" t="s">
        <v>74</v>
      </c>
      <c r="C217" s="31" t="s">
        <v>77</v>
      </c>
      <c r="D217" s="49">
        <f>VLOOKUP(ToolFeatures[[#This Row],[FEATURE CODE]],FeatureTree[],5,FALSE)</f>
        <v>5</v>
      </c>
      <c r="E217" s="49" t="str">
        <f>VLOOKUP(ToolFeatures[[#This Row],[FEATURE CODE]],FeatureTree[],6,FALSE)</f>
        <v>Matching, linking and merging</v>
      </c>
      <c r="F217" s="49" t="str">
        <f>VLOOKUP(LEFT(ToolFeatures[[#This Row],[FEATURE CODE]],2),FeatureTree[],2,FALSE)</f>
        <v>Data Preparation and Cleaning</v>
      </c>
      <c r="G217" s="49" t="str">
        <f>VLOOKUP(LEFT(ToolFeatures[[#This Row],[FEATURE CODE]],5),FeatureTree[],2,FALSE)</f>
        <v>Identity Resolution, Linkage, Merging &amp; Consolidation</v>
      </c>
    </row>
    <row r="218" spans="1:7">
      <c r="A218" s="1" t="s">
        <v>184</v>
      </c>
      <c r="B218" s="1" t="s">
        <v>231</v>
      </c>
      <c r="C218" s="31" t="s">
        <v>232</v>
      </c>
      <c r="D218" s="49">
        <f>VLOOKUP(ToolFeatures[[#This Row],[FEATURE CODE]],FeatureTree[],5,FALSE)</f>
        <v>5</v>
      </c>
      <c r="E218" s="49" t="str">
        <f>VLOOKUP(ToolFeatures[[#This Row],[FEATURE CODE]],FeatureTree[],6,FALSE)</f>
        <v>Usability</v>
      </c>
      <c r="F218" s="49" t="str">
        <f>VLOOKUP(LEFT(ToolFeatures[[#This Row],[FEATURE CODE]],2),FeatureTree[],2,FALSE)</f>
        <v>Data Use</v>
      </c>
      <c r="G218" s="49" t="str">
        <f>VLOOKUP(LEFT(ToolFeatures[[#This Row],[FEATURE CODE]],5),FeatureTree[],2,FALSE)</f>
        <v>Data Mining</v>
      </c>
    </row>
    <row r="219" spans="1:7">
      <c r="A219" s="1" t="s">
        <v>184</v>
      </c>
      <c r="B219" s="1" t="s">
        <v>233</v>
      </c>
      <c r="C219" s="31" t="s">
        <v>238</v>
      </c>
      <c r="D219" s="49">
        <f>VLOOKUP(ToolFeatures[[#This Row],[FEATURE CODE]],FeatureTree[],5,FALSE)</f>
        <v>5</v>
      </c>
      <c r="E219" s="49" t="str">
        <f>VLOOKUP(ToolFeatures[[#This Row],[FEATURE CODE]],FeatureTree[],6,FALSE)</f>
        <v>Usability</v>
      </c>
      <c r="F219" s="49" t="str">
        <f>VLOOKUP(LEFT(ToolFeatures[[#This Row],[FEATURE CODE]],2),FeatureTree[],2,FALSE)</f>
        <v>Data Use</v>
      </c>
      <c r="G219" s="49" t="str">
        <f>VLOOKUP(LEFT(ToolFeatures[[#This Row],[FEATURE CODE]],5),FeatureTree[],2,FALSE)</f>
        <v>Data Mining</v>
      </c>
    </row>
    <row r="220" spans="1:7">
      <c r="A220" s="1" t="s">
        <v>184</v>
      </c>
      <c r="B220" s="1" t="s">
        <v>239</v>
      </c>
      <c r="C220" s="31" t="s">
        <v>237</v>
      </c>
      <c r="D220" s="49">
        <f>VLOOKUP(ToolFeatures[[#This Row],[FEATURE CODE]],FeatureTree[],5,FALSE)</f>
        <v>5</v>
      </c>
      <c r="E220" s="49" t="str">
        <f>VLOOKUP(ToolFeatures[[#This Row],[FEATURE CODE]],FeatureTree[],6,FALSE)</f>
        <v>Architecture and integration</v>
      </c>
      <c r="F220" s="49" t="str">
        <f>VLOOKUP(LEFT(ToolFeatures[[#This Row],[FEATURE CODE]],2),FeatureTree[],2,FALSE)</f>
        <v>Data Use</v>
      </c>
      <c r="G220" s="49" t="str">
        <f>VLOOKUP(LEFT(ToolFeatures[[#This Row],[FEATURE CODE]],5),FeatureTree[],2,FALSE)</f>
        <v>Data Mining</v>
      </c>
    </row>
    <row r="221" spans="1:7">
      <c r="A221" s="1" t="s">
        <v>184</v>
      </c>
      <c r="B221" s="1" t="s">
        <v>127</v>
      </c>
      <c r="C221" s="31" t="s">
        <v>129</v>
      </c>
      <c r="D221" s="49">
        <f>VLOOKUP(ToolFeatures[[#This Row],[FEATURE CODE]],FeatureTree[],5,FALSE)</f>
        <v>5</v>
      </c>
      <c r="E221" s="49" t="str">
        <f>VLOOKUP(ToolFeatures[[#This Row],[FEATURE CODE]],FeatureTree[],6,FALSE)</f>
        <v>Monitoring</v>
      </c>
      <c r="F221" s="49" t="str">
        <f>VLOOKUP(LEFT(ToolFeatures[[#This Row],[FEATURE CODE]],2),FeatureTree[],2,FALSE)</f>
        <v>Data Monitoring</v>
      </c>
      <c r="G221" s="49" t="str">
        <f>VLOOKUP(LEFT(ToolFeatures[[#This Row],[FEATURE CODE]],5),FeatureTree[],2,FALSE)</f>
        <v>Monitoring &amp; Alerting</v>
      </c>
    </row>
    <row r="222" spans="1:7">
      <c r="A222" s="1" t="s">
        <v>184</v>
      </c>
      <c r="B222" s="1" t="s">
        <v>131</v>
      </c>
      <c r="C222" s="31" t="s">
        <v>128</v>
      </c>
      <c r="D222" s="49">
        <f>VLOOKUP(ToolFeatures[[#This Row],[FEATURE CODE]],FeatureTree[],5,FALSE)</f>
        <v>5</v>
      </c>
      <c r="E222" s="49" t="str">
        <f>VLOOKUP(ToolFeatures[[#This Row],[FEATURE CODE]],FeatureTree[],6,FALSE)</f>
        <v>Monitoring</v>
      </c>
      <c r="F222" s="49" t="str">
        <f>VLOOKUP(LEFT(ToolFeatures[[#This Row],[FEATURE CODE]],2),FeatureTree[],2,FALSE)</f>
        <v>Data Monitoring</v>
      </c>
      <c r="G222" s="49" t="str">
        <f>VLOOKUP(LEFT(ToolFeatures[[#This Row],[FEATURE CODE]],5),FeatureTree[],2,FALSE)</f>
        <v>Monitoring &amp; Alerting</v>
      </c>
    </row>
    <row r="223" spans="1:7">
      <c r="A223" s="1" t="s">
        <v>184</v>
      </c>
      <c r="B223" s="1" t="s">
        <v>132</v>
      </c>
      <c r="C223" s="31" t="s">
        <v>130</v>
      </c>
      <c r="D223" s="49">
        <f>VLOOKUP(ToolFeatures[[#This Row],[FEATURE CODE]],FeatureTree[],5,FALSE)</f>
        <v>5</v>
      </c>
      <c r="E223" s="49" t="str">
        <f>VLOOKUP(ToolFeatures[[#This Row],[FEATURE CODE]],FeatureTree[],6,FALSE)</f>
        <v>Monitoring</v>
      </c>
      <c r="F223" s="49" t="str">
        <f>VLOOKUP(LEFT(ToolFeatures[[#This Row],[FEATURE CODE]],2),FeatureTree[],2,FALSE)</f>
        <v>Data Monitoring</v>
      </c>
      <c r="G223" s="49" t="str">
        <f>VLOOKUP(LEFT(ToolFeatures[[#This Row],[FEATURE CODE]],5),FeatureTree[],2,FALSE)</f>
        <v>Monitoring &amp; Alerting</v>
      </c>
    </row>
    <row r="224" spans="1:7">
      <c r="A224" s="1" t="s">
        <v>185</v>
      </c>
      <c r="B224" s="1" t="s">
        <v>102</v>
      </c>
      <c r="C224" s="31" t="s">
        <v>99</v>
      </c>
      <c r="D224" s="49">
        <f>VLOOKUP(ToolFeatures[[#This Row],[FEATURE CODE]],FeatureTree[],5,FALSE)</f>
        <v>5</v>
      </c>
      <c r="E224" s="49" t="str">
        <f>VLOOKUP(ToolFeatures[[#This Row],[FEATURE CODE]],FeatureTree[],6,FALSE)</f>
        <v>Connectivity</v>
      </c>
      <c r="F224" s="49" t="str">
        <f>VLOOKUP(LEFT(ToolFeatures[[#This Row],[FEATURE CODE]],2),FeatureTree[],2,FALSE)</f>
        <v>Data Ingestion and Integration</v>
      </c>
      <c r="G224" s="49" t="str">
        <f>VLOOKUP(LEFT(ToolFeatures[[#This Row],[FEATURE CODE]],5),FeatureTree[],2,FALSE)</f>
        <v>Data Consolidation</v>
      </c>
    </row>
    <row r="225" spans="1:7">
      <c r="A225" s="1" t="s">
        <v>185</v>
      </c>
      <c r="B225" s="1" t="s">
        <v>67</v>
      </c>
      <c r="C225" s="31" t="s">
        <v>46</v>
      </c>
      <c r="D225" s="49">
        <f>VLOOKUP(ToolFeatures[[#This Row],[FEATURE CODE]],FeatureTree[],5,FALSE)</f>
        <v>5</v>
      </c>
      <c r="E225" s="49" t="str">
        <f>VLOOKUP(ToolFeatures[[#This Row],[FEATURE CODE]],FeatureTree[],6,FALSE)</f>
        <v>Matching, linking and merging</v>
      </c>
      <c r="F225" s="49" t="str">
        <f>VLOOKUP(LEFT(ToolFeatures[[#This Row],[FEATURE CODE]],2),FeatureTree[],2,FALSE)</f>
        <v>Data Preparation and Cleaning</v>
      </c>
      <c r="G225" s="49" t="str">
        <f>VLOOKUP(LEFT(ToolFeatures[[#This Row],[FEATURE CODE]],5),FeatureTree[],2,FALSE)</f>
        <v>Identity Resolution, Linkage, Merging &amp; Consolidation</v>
      </c>
    </row>
    <row r="226" spans="1:7">
      <c r="A226" s="1" t="s">
        <v>185</v>
      </c>
      <c r="B226" s="1" t="s">
        <v>71</v>
      </c>
      <c r="C226" s="31" t="s">
        <v>69</v>
      </c>
      <c r="D226" s="49">
        <f>VLOOKUP(ToolFeatures[[#This Row],[FEATURE CODE]],FeatureTree[],5,FALSE)</f>
        <v>5</v>
      </c>
      <c r="E226" s="49" t="str">
        <f>VLOOKUP(ToolFeatures[[#This Row],[FEATURE CODE]],FeatureTree[],6,FALSE)</f>
        <v>Matching, linking and merging</v>
      </c>
      <c r="F226" s="49" t="str">
        <f>VLOOKUP(LEFT(ToolFeatures[[#This Row],[FEATURE CODE]],2),FeatureTree[],2,FALSE)</f>
        <v>Data Preparation and Cleaning</v>
      </c>
      <c r="G226" s="49" t="str">
        <f>VLOOKUP(LEFT(ToolFeatures[[#This Row],[FEATURE CODE]],5),FeatureTree[],2,FALSE)</f>
        <v>Identity Resolution, Linkage, Merging &amp; Consolidation</v>
      </c>
    </row>
    <row r="227" spans="1:7" ht="30">
      <c r="A227" s="1" t="s">
        <v>186</v>
      </c>
      <c r="B227" s="1" t="s">
        <v>19</v>
      </c>
      <c r="C227" s="31" t="s">
        <v>20</v>
      </c>
      <c r="D227" s="49">
        <f>VLOOKUP(ToolFeatures[[#This Row],[FEATURE CODE]],FeatureTree[],5,FALSE)</f>
        <v>5</v>
      </c>
      <c r="E227" s="49" t="str">
        <f>VLOOKUP(ToolFeatures[[#This Row],[FEATURE CODE]],FeatureTree[],6,FALSE)</f>
        <v>Data profiling, measurement and visualization</v>
      </c>
      <c r="F227" s="49" t="str">
        <f>VLOOKUP(LEFT(ToolFeatures[[#This Row],[FEATURE CODE]],2),FeatureTree[],2,FALSE)</f>
        <v>Data Profiling, Exploration/Pattern Detection</v>
      </c>
      <c r="G227" s="49" t="str">
        <f>VLOOKUP(LEFT(ToolFeatures[[#This Row],[FEATURE CODE]],5),FeatureTree[],2,FALSE)</f>
        <v>Relationship discovery</v>
      </c>
    </row>
    <row r="228" spans="1:7">
      <c r="A228" s="1" t="s">
        <v>186</v>
      </c>
      <c r="B228" s="1" t="s">
        <v>102</v>
      </c>
      <c r="C228" s="31" t="s">
        <v>99</v>
      </c>
      <c r="D228" s="49">
        <f>VLOOKUP(ToolFeatures[[#This Row],[FEATURE CODE]],FeatureTree[],5,FALSE)</f>
        <v>5</v>
      </c>
      <c r="E228" s="49" t="str">
        <f>VLOOKUP(ToolFeatures[[#This Row],[FEATURE CODE]],FeatureTree[],6,FALSE)</f>
        <v>Connectivity</v>
      </c>
      <c r="F228" s="49" t="str">
        <f>VLOOKUP(LEFT(ToolFeatures[[#This Row],[FEATURE CODE]],2),FeatureTree[],2,FALSE)</f>
        <v>Data Ingestion and Integration</v>
      </c>
      <c r="G228" s="49" t="str">
        <f>VLOOKUP(LEFT(ToolFeatures[[#This Row],[FEATURE CODE]],5),FeatureTree[],2,FALSE)</f>
        <v>Data Consolidation</v>
      </c>
    </row>
    <row r="229" spans="1:7">
      <c r="A229" s="1" t="s">
        <v>186</v>
      </c>
      <c r="B229" s="1" t="s">
        <v>33</v>
      </c>
      <c r="C229" s="31" t="s">
        <v>223</v>
      </c>
      <c r="D229" s="49">
        <f>VLOOKUP(ToolFeatures[[#This Row],[FEATURE CODE]],FeatureTree[],5,FALSE)</f>
        <v>5</v>
      </c>
      <c r="E229" s="49" t="str">
        <f>VLOOKUP(ToolFeatures[[#This Row],[FEATURE CODE]],FeatureTree[],6,FALSE)</f>
        <v>Parsing</v>
      </c>
      <c r="F229" s="49" t="str">
        <f>VLOOKUP(LEFT(ToolFeatures[[#This Row],[FEATURE CODE]],2),FeatureTree[],2,FALSE)</f>
        <v>Data Ingestion and Integration</v>
      </c>
      <c r="G229" s="49" t="str">
        <f>VLOOKUP(LEFT(ToolFeatures[[#This Row],[FEATURE CODE]],5),FeatureTree[],2,FALSE)</f>
        <v>Data Consolidation</v>
      </c>
    </row>
    <row r="230" spans="1:7">
      <c r="A230" s="1" t="s">
        <v>186</v>
      </c>
      <c r="B230" s="1" t="s">
        <v>59</v>
      </c>
      <c r="C230" s="31" t="s">
        <v>41</v>
      </c>
      <c r="D230" s="49">
        <f>VLOOKUP(ToolFeatures[[#This Row],[FEATURE CODE]],FeatureTree[],5,FALSE)</f>
        <v>5</v>
      </c>
      <c r="E230" s="49" t="str">
        <f>VLOOKUP(ToolFeatures[[#This Row],[FEATURE CODE]],FeatureTree[],6,FALSE)</f>
        <v>Standardization and cleansing</v>
      </c>
      <c r="F230" s="49" t="str">
        <f>VLOOKUP(LEFT(ToolFeatures[[#This Row],[FEATURE CODE]],2),FeatureTree[],2,FALSE)</f>
        <v>Data Preparation and Cleaning</v>
      </c>
      <c r="G230" s="49" t="str">
        <f>VLOOKUP(LEFT(ToolFeatures[[#This Row],[FEATURE CODE]],5),FeatureTree[],2,FALSE)</f>
        <v>Parsing and Standardization</v>
      </c>
    </row>
    <row r="231" spans="1:7">
      <c r="A231" s="1" t="s">
        <v>186</v>
      </c>
      <c r="B231" s="1" t="s">
        <v>67</v>
      </c>
      <c r="C231" s="31" t="s">
        <v>46</v>
      </c>
      <c r="D231" s="49">
        <f>VLOOKUP(ToolFeatures[[#This Row],[FEATURE CODE]],FeatureTree[],5,FALSE)</f>
        <v>5</v>
      </c>
      <c r="E231" s="49" t="str">
        <f>VLOOKUP(ToolFeatures[[#This Row],[FEATURE CODE]],FeatureTree[],6,FALSE)</f>
        <v>Matching, linking and merging</v>
      </c>
      <c r="F231" s="49" t="str">
        <f>VLOOKUP(LEFT(ToolFeatures[[#This Row],[FEATURE CODE]],2),FeatureTree[],2,FALSE)</f>
        <v>Data Preparation and Cleaning</v>
      </c>
      <c r="G231" s="49" t="str">
        <f>VLOOKUP(LEFT(ToolFeatures[[#This Row],[FEATURE CODE]],5),FeatureTree[],2,FALSE)</f>
        <v>Identity Resolution, Linkage, Merging &amp; Consolidation</v>
      </c>
    </row>
    <row r="232" spans="1:7">
      <c r="A232" s="1" t="s">
        <v>186</v>
      </c>
      <c r="B232" s="1" t="s">
        <v>231</v>
      </c>
      <c r="C232" s="31" t="s">
        <v>232</v>
      </c>
      <c r="D232" s="49">
        <f>VLOOKUP(ToolFeatures[[#This Row],[FEATURE CODE]],FeatureTree[],5,FALSE)</f>
        <v>5</v>
      </c>
      <c r="E232" s="49" t="str">
        <f>VLOOKUP(ToolFeatures[[#This Row],[FEATURE CODE]],FeatureTree[],6,FALSE)</f>
        <v>Usability</v>
      </c>
      <c r="F232" s="49" t="str">
        <f>VLOOKUP(LEFT(ToolFeatures[[#This Row],[FEATURE CODE]],2),FeatureTree[],2,FALSE)</f>
        <v>Data Use</v>
      </c>
      <c r="G232" s="49" t="str">
        <f>VLOOKUP(LEFT(ToolFeatures[[#This Row],[FEATURE CODE]],5),FeatureTree[],2,FALSE)</f>
        <v>Data Mining</v>
      </c>
    </row>
    <row r="233" spans="1:7">
      <c r="A233" s="1" t="s">
        <v>187</v>
      </c>
      <c r="B233" s="1" t="s">
        <v>102</v>
      </c>
      <c r="C233" s="31" t="s">
        <v>99</v>
      </c>
      <c r="D233" s="49">
        <f>VLOOKUP(ToolFeatures[[#This Row],[FEATURE CODE]],FeatureTree[],5,FALSE)</f>
        <v>5</v>
      </c>
      <c r="E233" s="49" t="str">
        <f>VLOOKUP(ToolFeatures[[#This Row],[FEATURE CODE]],FeatureTree[],6,FALSE)</f>
        <v>Connectivity</v>
      </c>
      <c r="F233" s="49" t="str">
        <f>VLOOKUP(LEFT(ToolFeatures[[#This Row],[FEATURE CODE]],2),FeatureTree[],2,FALSE)</f>
        <v>Data Ingestion and Integration</v>
      </c>
      <c r="G233" s="49" t="str">
        <f>VLOOKUP(LEFT(ToolFeatures[[#This Row],[FEATURE CODE]],5),FeatureTree[],2,FALSE)</f>
        <v>Data Consolidation</v>
      </c>
    </row>
    <row r="234" spans="1:7">
      <c r="A234" s="1" t="s">
        <v>187</v>
      </c>
      <c r="B234" s="1" t="s">
        <v>33</v>
      </c>
      <c r="C234" s="31" t="s">
        <v>223</v>
      </c>
      <c r="D234" s="49">
        <f>VLOOKUP(ToolFeatures[[#This Row],[FEATURE CODE]],FeatureTree[],5,FALSE)</f>
        <v>5</v>
      </c>
      <c r="E234" s="49" t="str">
        <f>VLOOKUP(ToolFeatures[[#This Row],[FEATURE CODE]],FeatureTree[],6,FALSE)</f>
        <v>Parsing</v>
      </c>
      <c r="F234" s="49" t="str">
        <f>VLOOKUP(LEFT(ToolFeatures[[#This Row],[FEATURE CODE]],2),FeatureTree[],2,FALSE)</f>
        <v>Data Ingestion and Integration</v>
      </c>
      <c r="G234" s="49" t="str">
        <f>VLOOKUP(LEFT(ToolFeatures[[#This Row],[FEATURE CODE]],5),FeatureTree[],2,FALSE)</f>
        <v>Data Consolidation</v>
      </c>
    </row>
    <row r="235" spans="1:7">
      <c r="A235" s="1" t="s">
        <v>188</v>
      </c>
      <c r="B235" s="1" t="s">
        <v>102</v>
      </c>
      <c r="C235" s="31" t="s">
        <v>99</v>
      </c>
      <c r="D235" s="49">
        <f>VLOOKUP(ToolFeatures[[#This Row],[FEATURE CODE]],FeatureTree[],5,FALSE)</f>
        <v>5</v>
      </c>
      <c r="E235" s="49" t="str">
        <f>VLOOKUP(ToolFeatures[[#This Row],[FEATURE CODE]],FeatureTree[],6,FALSE)</f>
        <v>Connectivity</v>
      </c>
      <c r="F235" s="49" t="str">
        <f>VLOOKUP(LEFT(ToolFeatures[[#This Row],[FEATURE CODE]],2),FeatureTree[],2,FALSE)</f>
        <v>Data Ingestion and Integration</v>
      </c>
      <c r="G235" s="49" t="str">
        <f>VLOOKUP(LEFT(ToolFeatures[[#This Row],[FEATURE CODE]],5),FeatureTree[],2,FALSE)</f>
        <v>Data Consolidation</v>
      </c>
    </row>
    <row r="236" spans="1:7">
      <c r="A236" s="1" t="s">
        <v>188</v>
      </c>
      <c r="B236" s="1" t="s">
        <v>34</v>
      </c>
      <c r="C236" s="31" t="s">
        <v>36</v>
      </c>
      <c r="D236" s="49">
        <f>VLOOKUP(ToolFeatures[[#This Row],[FEATURE CODE]],FeatureTree[],5,FALSE)</f>
        <v>5</v>
      </c>
      <c r="E236" s="49" t="str">
        <f>VLOOKUP(ToolFeatures[[#This Row],[FEATURE CODE]],FeatureTree[],6,FALSE)</f>
        <v>Architecture and integration</v>
      </c>
      <c r="F236" s="49" t="str">
        <f>VLOOKUP(LEFT(ToolFeatures[[#This Row],[FEATURE CODE]],2),FeatureTree[],2,FALSE)</f>
        <v>Data Ingestion and Integration</v>
      </c>
      <c r="G236" s="49" t="str">
        <f>VLOOKUP(LEFT(ToolFeatures[[#This Row],[FEATURE CODE]],5),FeatureTree[],2,FALSE)</f>
        <v>Data Consolidation</v>
      </c>
    </row>
    <row r="237" spans="1:7">
      <c r="A237" s="1" t="s">
        <v>188</v>
      </c>
      <c r="B237" s="1" t="s">
        <v>206</v>
      </c>
      <c r="C237" s="31" t="s">
        <v>84</v>
      </c>
      <c r="D237" s="49">
        <f>VLOOKUP(ToolFeatures[[#This Row],[FEATURE CODE]],FeatureTree[],5,FALSE)</f>
        <v>5</v>
      </c>
      <c r="E237" s="49" t="str">
        <f>VLOOKUP(ToolFeatures[[#This Row],[FEATURE CODE]],FeatureTree[],6,FALSE)</f>
        <v>Metadata management</v>
      </c>
      <c r="F237" s="49" t="str">
        <f>VLOOKUP(LEFT(ToolFeatures[[#This Row],[FEATURE CODE]],2),FeatureTree[],2,FALSE)</f>
        <v>Data Use</v>
      </c>
      <c r="G237" s="49" t="str">
        <f>VLOOKUP(LEFT(ToolFeatures[[#This Row],[FEATURE CODE]],5),FeatureTree[],2,FALSE)</f>
        <v>Metadata Management</v>
      </c>
    </row>
    <row r="238" spans="1:7">
      <c r="A238" s="1" t="s">
        <v>189</v>
      </c>
      <c r="B238" s="1" t="s">
        <v>102</v>
      </c>
      <c r="C238" s="31" t="s">
        <v>99</v>
      </c>
      <c r="D238" s="49">
        <f>VLOOKUP(ToolFeatures[[#This Row],[FEATURE CODE]],FeatureTree[],5,FALSE)</f>
        <v>5</v>
      </c>
      <c r="E238" s="49" t="str">
        <f>VLOOKUP(ToolFeatures[[#This Row],[FEATURE CODE]],FeatureTree[],6,FALSE)</f>
        <v>Connectivity</v>
      </c>
      <c r="F238" s="49" t="str">
        <f>VLOOKUP(LEFT(ToolFeatures[[#This Row],[FEATURE CODE]],2),FeatureTree[],2,FALSE)</f>
        <v>Data Ingestion and Integration</v>
      </c>
      <c r="G238" s="49" t="str">
        <f>VLOOKUP(LEFT(ToolFeatures[[#This Row],[FEATURE CODE]],5),FeatureTree[],2,FALSE)</f>
        <v>Data Consolidation</v>
      </c>
    </row>
    <row r="239" spans="1:7">
      <c r="A239" s="1" t="s">
        <v>189</v>
      </c>
      <c r="B239" s="1" t="s">
        <v>59</v>
      </c>
      <c r="C239" s="31" t="s">
        <v>41</v>
      </c>
      <c r="D239" s="49">
        <f>VLOOKUP(ToolFeatures[[#This Row],[FEATURE CODE]],FeatureTree[],5,FALSE)</f>
        <v>5</v>
      </c>
      <c r="E239" s="49" t="str">
        <f>VLOOKUP(ToolFeatures[[#This Row],[FEATURE CODE]],FeatureTree[],6,FALSE)</f>
        <v>Standardization and cleansing</v>
      </c>
      <c r="F239" s="49" t="str">
        <f>VLOOKUP(LEFT(ToolFeatures[[#This Row],[FEATURE CODE]],2),FeatureTree[],2,FALSE)</f>
        <v>Data Preparation and Cleaning</v>
      </c>
      <c r="G239" s="49" t="str">
        <f>VLOOKUP(LEFT(ToolFeatures[[#This Row],[FEATURE CODE]],5),FeatureTree[],2,FALSE)</f>
        <v>Parsing and Standardization</v>
      </c>
    </row>
    <row r="240" spans="1:7">
      <c r="A240" s="1" t="s">
        <v>189</v>
      </c>
      <c r="B240" s="1" t="s">
        <v>62</v>
      </c>
      <c r="C240" s="31" t="s">
        <v>44</v>
      </c>
      <c r="D240" s="49">
        <f>VLOOKUP(ToolFeatures[[#This Row],[FEATURE CODE]],FeatureTree[],5,FALSE)</f>
        <v>5</v>
      </c>
      <c r="E240" s="49" t="str">
        <f>VLOOKUP(ToolFeatures[[#This Row],[FEATURE CODE]],FeatureTree[],6,FALSE)</f>
        <v>Address validation / geocoding</v>
      </c>
      <c r="F240" s="49" t="str">
        <f>VLOOKUP(LEFT(ToolFeatures[[#This Row],[FEATURE CODE]],2),FeatureTree[],2,FALSE)</f>
        <v>Data Preparation and Cleaning</v>
      </c>
      <c r="G240" s="49" t="str">
        <f>VLOOKUP(LEFT(ToolFeatures[[#This Row],[FEATURE CODE]],5),FeatureTree[],2,FALSE)</f>
        <v>Parsing and Standardization</v>
      </c>
    </row>
    <row r="241" spans="1:7">
      <c r="A241" s="1" t="s">
        <v>189</v>
      </c>
      <c r="B241" s="1" t="s">
        <v>63</v>
      </c>
      <c r="C241" s="31" t="s">
        <v>45</v>
      </c>
      <c r="D241" s="49">
        <f>VLOOKUP(ToolFeatures[[#This Row],[FEATURE CODE]],FeatureTree[],5,FALSE)</f>
        <v>5</v>
      </c>
      <c r="E241" s="49" t="str">
        <f>VLOOKUP(ToolFeatures[[#This Row],[FEATURE CODE]],FeatureTree[],6,FALSE)</f>
        <v>Standardization and cleansing</v>
      </c>
      <c r="F241" s="49" t="str">
        <f>VLOOKUP(LEFT(ToolFeatures[[#This Row],[FEATURE CODE]],2),FeatureTree[],2,FALSE)</f>
        <v>Data Preparation and Cleaning</v>
      </c>
      <c r="G241" s="49" t="str">
        <f>VLOOKUP(LEFT(ToolFeatures[[#This Row],[FEATURE CODE]],5),FeatureTree[],2,FALSE)</f>
        <v>Parsing and Standardization</v>
      </c>
    </row>
    <row r="242" spans="1:7">
      <c r="A242" s="1" t="s">
        <v>189</v>
      </c>
      <c r="B242" s="1" t="s">
        <v>67</v>
      </c>
      <c r="C242" s="31" t="s">
        <v>46</v>
      </c>
      <c r="D242" s="49">
        <f>VLOOKUP(ToolFeatures[[#This Row],[FEATURE CODE]],FeatureTree[],5,FALSE)</f>
        <v>5</v>
      </c>
      <c r="E242" s="49" t="str">
        <f>VLOOKUP(ToolFeatures[[#This Row],[FEATURE CODE]],FeatureTree[],6,FALSE)</f>
        <v>Matching, linking and merging</v>
      </c>
      <c r="F242" s="49" t="str">
        <f>VLOOKUP(LEFT(ToolFeatures[[#This Row],[FEATURE CODE]],2),FeatureTree[],2,FALSE)</f>
        <v>Data Preparation and Cleaning</v>
      </c>
      <c r="G242" s="49" t="str">
        <f>VLOOKUP(LEFT(ToolFeatures[[#This Row],[FEATURE CODE]],5),FeatureTree[],2,FALSE)</f>
        <v>Identity Resolution, Linkage, Merging &amp; Consolidation</v>
      </c>
    </row>
    <row r="243" spans="1:7">
      <c r="A243" s="1" t="s">
        <v>189</v>
      </c>
      <c r="B243" s="1" t="s">
        <v>71</v>
      </c>
      <c r="C243" s="31" t="s">
        <v>69</v>
      </c>
      <c r="D243" s="49">
        <f>VLOOKUP(ToolFeatures[[#This Row],[FEATURE CODE]],FeatureTree[],5,FALSE)</f>
        <v>5</v>
      </c>
      <c r="E243" s="49" t="str">
        <f>VLOOKUP(ToolFeatures[[#This Row],[FEATURE CODE]],FeatureTree[],6,FALSE)</f>
        <v>Matching, linking and merging</v>
      </c>
      <c r="F243" s="49" t="str">
        <f>VLOOKUP(LEFT(ToolFeatures[[#This Row],[FEATURE CODE]],2),FeatureTree[],2,FALSE)</f>
        <v>Data Preparation and Cleaning</v>
      </c>
      <c r="G243" s="49" t="str">
        <f>VLOOKUP(LEFT(ToolFeatures[[#This Row],[FEATURE CODE]],5),FeatureTree[],2,FALSE)</f>
        <v>Identity Resolution, Linkage, Merging &amp; Consolidation</v>
      </c>
    </row>
    <row r="244" spans="1:7">
      <c r="A244" s="1" t="s">
        <v>189</v>
      </c>
      <c r="B244" s="1" t="s">
        <v>74</v>
      </c>
      <c r="C244" s="31" t="s">
        <v>77</v>
      </c>
      <c r="D244" s="49">
        <f>VLOOKUP(ToolFeatures[[#This Row],[FEATURE CODE]],FeatureTree[],5,FALSE)</f>
        <v>5</v>
      </c>
      <c r="E244" s="49" t="str">
        <f>VLOOKUP(ToolFeatures[[#This Row],[FEATURE CODE]],FeatureTree[],6,FALSE)</f>
        <v>Matching, linking and merging</v>
      </c>
      <c r="F244" s="49" t="str">
        <f>VLOOKUP(LEFT(ToolFeatures[[#This Row],[FEATURE CODE]],2),FeatureTree[],2,FALSE)</f>
        <v>Data Preparation and Cleaning</v>
      </c>
      <c r="G244" s="49" t="str">
        <f>VLOOKUP(LEFT(ToolFeatures[[#This Row],[FEATURE CODE]],5),FeatureTree[],2,FALSE)</f>
        <v>Identity Resolution, Linkage, Merging &amp; Consolidation</v>
      </c>
    </row>
    <row r="245" spans="1:7">
      <c r="A245" s="1" t="s">
        <v>190</v>
      </c>
      <c r="B245" s="1" t="s">
        <v>17</v>
      </c>
      <c r="C245" s="31" t="s">
        <v>16</v>
      </c>
      <c r="D245" s="49">
        <f>VLOOKUP(ToolFeatures[[#This Row],[FEATURE CODE]],FeatureTree[],5,FALSE)</f>
        <v>5</v>
      </c>
      <c r="E245" s="49" t="str">
        <f>VLOOKUP(ToolFeatures[[#This Row],[FEATURE CODE]],FeatureTree[],6,FALSE)</f>
        <v>Data profiling, measurement and visualization</v>
      </c>
      <c r="F245" s="49" t="str">
        <f>VLOOKUP(LEFT(ToolFeatures[[#This Row],[FEATURE CODE]],2),FeatureTree[],2,FALSE)</f>
        <v>Data Profiling, Exploration/Pattern Detection</v>
      </c>
      <c r="G245" s="49" t="str">
        <f>VLOOKUP(LEFT(ToolFeatures[[#This Row],[FEATURE CODE]],5),FeatureTree[],2,FALSE)</f>
        <v>Relationship discovery</v>
      </c>
    </row>
    <row r="246" spans="1:7">
      <c r="A246" s="1" t="s">
        <v>190</v>
      </c>
      <c r="B246" s="1" t="s">
        <v>18</v>
      </c>
      <c r="C246" s="31" t="s">
        <v>164</v>
      </c>
      <c r="D246" s="49">
        <f>VLOOKUP(ToolFeatures[[#This Row],[FEATURE CODE]],FeatureTree[],5,FALSE)</f>
        <v>5</v>
      </c>
      <c r="E246" s="49" t="str">
        <f>VLOOKUP(ToolFeatures[[#This Row],[FEATURE CODE]],FeatureTree[],6,FALSE)</f>
        <v>Data profiling, measurement and visualization</v>
      </c>
      <c r="F246" s="49" t="str">
        <f>VLOOKUP(LEFT(ToolFeatures[[#This Row],[FEATURE CODE]],2),FeatureTree[],2,FALSE)</f>
        <v>Data Profiling, Exploration/Pattern Detection</v>
      </c>
      <c r="G246" s="49" t="str">
        <f>VLOOKUP(LEFT(ToolFeatures[[#This Row],[FEATURE CODE]],5),FeatureTree[],2,FALSE)</f>
        <v>Relationship discovery</v>
      </c>
    </row>
    <row r="247" spans="1:7" ht="30">
      <c r="A247" s="1" t="s">
        <v>190</v>
      </c>
      <c r="B247" s="1" t="s">
        <v>19</v>
      </c>
      <c r="C247" s="31" t="s">
        <v>20</v>
      </c>
      <c r="D247" s="49">
        <f>VLOOKUP(ToolFeatures[[#This Row],[FEATURE CODE]],FeatureTree[],5,FALSE)</f>
        <v>5</v>
      </c>
      <c r="E247" s="49" t="str">
        <f>VLOOKUP(ToolFeatures[[#This Row],[FEATURE CODE]],FeatureTree[],6,FALSE)</f>
        <v>Data profiling, measurement and visualization</v>
      </c>
      <c r="F247" s="49" t="str">
        <f>VLOOKUP(LEFT(ToolFeatures[[#This Row],[FEATURE CODE]],2),FeatureTree[],2,FALSE)</f>
        <v>Data Profiling, Exploration/Pattern Detection</v>
      </c>
      <c r="G247" s="49" t="str">
        <f>VLOOKUP(LEFT(ToolFeatures[[#This Row],[FEATURE CODE]],5),FeatureTree[],2,FALSE)</f>
        <v>Relationship discovery</v>
      </c>
    </row>
    <row r="248" spans="1:7">
      <c r="A248" s="1" t="s">
        <v>190</v>
      </c>
      <c r="B248" s="1" t="s">
        <v>21</v>
      </c>
      <c r="C248" s="31" t="s">
        <v>24</v>
      </c>
      <c r="D248" s="49">
        <f>VLOOKUP(ToolFeatures[[#This Row],[FEATURE CODE]],FeatureTree[],5,FALSE)</f>
        <v>5</v>
      </c>
      <c r="E248" s="49" t="str">
        <f>VLOOKUP(ToolFeatures[[#This Row],[FEATURE CODE]],FeatureTree[],6,FALSE)</f>
        <v>Data profiling, measurement and visualization</v>
      </c>
      <c r="F248" s="49" t="str">
        <f>VLOOKUP(LEFT(ToolFeatures[[#This Row],[FEATURE CODE]],2),FeatureTree[],2,FALSE)</f>
        <v>Data Profiling, Exploration/Pattern Detection</v>
      </c>
      <c r="G248" s="49" t="str">
        <f>VLOOKUP(LEFT(ToolFeatures[[#This Row],[FEATURE CODE]],5),FeatureTree[],2,FALSE)</f>
        <v>Content discovery</v>
      </c>
    </row>
    <row r="249" spans="1:7">
      <c r="A249" s="1" t="s">
        <v>190</v>
      </c>
      <c r="B249" s="1" t="s">
        <v>22</v>
      </c>
      <c r="C249" s="31" t="s">
        <v>25</v>
      </c>
      <c r="D249" s="49">
        <f>VLOOKUP(ToolFeatures[[#This Row],[FEATURE CODE]],FeatureTree[],5,FALSE)</f>
        <v>5</v>
      </c>
      <c r="E249" s="49" t="str">
        <f>VLOOKUP(ToolFeatures[[#This Row],[FEATURE CODE]],FeatureTree[],6,FALSE)</f>
        <v>Data profiling, measurement and visualization</v>
      </c>
      <c r="F249" s="49" t="str">
        <f>VLOOKUP(LEFT(ToolFeatures[[#This Row],[FEATURE CODE]],2),FeatureTree[],2,FALSE)</f>
        <v>Data Profiling, Exploration/Pattern Detection</v>
      </c>
      <c r="G249" s="49" t="str">
        <f>VLOOKUP(LEFT(ToolFeatures[[#This Row],[FEATURE CODE]],5),FeatureTree[],2,FALSE)</f>
        <v>Content discovery</v>
      </c>
    </row>
    <row r="250" spans="1:7">
      <c r="A250" s="1" t="s">
        <v>190</v>
      </c>
      <c r="B250" s="1" t="s">
        <v>23</v>
      </c>
      <c r="C250" s="31" t="s">
        <v>26</v>
      </c>
      <c r="D250" s="49">
        <f>VLOOKUP(ToolFeatures[[#This Row],[FEATURE CODE]],FeatureTree[],5,FALSE)</f>
        <v>5</v>
      </c>
      <c r="E250" s="49" t="str">
        <f>VLOOKUP(ToolFeatures[[#This Row],[FEATURE CODE]],FeatureTree[],6,FALSE)</f>
        <v>Data profiling, measurement and visualization</v>
      </c>
      <c r="F250" s="49" t="str">
        <f>VLOOKUP(LEFT(ToolFeatures[[#This Row],[FEATURE CODE]],2),FeatureTree[],2,FALSE)</f>
        <v>Data Profiling, Exploration/Pattern Detection</v>
      </c>
      <c r="G250" s="49" t="str">
        <f>VLOOKUP(LEFT(ToolFeatures[[#This Row],[FEATURE CODE]],5),FeatureTree[],2,FALSE)</f>
        <v>Content discovery</v>
      </c>
    </row>
    <row r="251" spans="1:7" ht="30">
      <c r="A251" s="1" t="s">
        <v>190</v>
      </c>
      <c r="B251" s="1" t="s">
        <v>27</v>
      </c>
      <c r="C251" s="31" t="s">
        <v>30</v>
      </c>
      <c r="D251" s="49">
        <f>VLOOKUP(ToolFeatures[[#This Row],[FEATURE CODE]],FeatureTree[],5,FALSE)</f>
        <v>5</v>
      </c>
      <c r="E251" s="49" t="str">
        <f>VLOOKUP(ToolFeatures[[#This Row],[FEATURE CODE]],FeatureTree[],6,FALSE)</f>
        <v>Data profiling, measurement and visualization</v>
      </c>
      <c r="F251" s="49" t="str">
        <f>VLOOKUP(LEFT(ToolFeatures[[#This Row],[FEATURE CODE]],2),FeatureTree[],2,FALSE)</f>
        <v>Data Profiling, Exploration/Pattern Detection</v>
      </c>
      <c r="G251" s="49" t="str">
        <f>VLOOKUP(LEFT(ToolFeatures[[#This Row],[FEATURE CODE]],5),FeatureTree[],2,FALSE)</f>
        <v>Structure discovery</v>
      </c>
    </row>
    <row r="252" spans="1:7">
      <c r="A252" s="1" t="s">
        <v>190</v>
      </c>
      <c r="B252" s="1" t="s">
        <v>28</v>
      </c>
      <c r="C252" s="31" t="s">
        <v>31</v>
      </c>
      <c r="D252" s="49">
        <f>VLOOKUP(ToolFeatures[[#This Row],[FEATURE CODE]],FeatureTree[],5,FALSE)</f>
        <v>5</v>
      </c>
      <c r="E252" s="49" t="str">
        <f>VLOOKUP(ToolFeatures[[#This Row],[FEATURE CODE]],FeatureTree[],6,FALSE)</f>
        <v>Data profiling, measurement and visualization</v>
      </c>
      <c r="F252" s="49" t="str">
        <f>VLOOKUP(LEFT(ToolFeatures[[#This Row],[FEATURE CODE]],2),FeatureTree[],2,FALSE)</f>
        <v>Data Profiling, Exploration/Pattern Detection</v>
      </c>
      <c r="G252" s="49" t="str">
        <f>VLOOKUP(LEFT(ToolFeatures[[#This Row],[FEATURE CODE]],5),FeatureTree[],2,FALSE)</f>
        <v>Structure discovery</v>
      </c>
    </row>
    <row r="253" spans="1:7">
      <c r="A253" s="1" t="s">
        <v>190</v>
      </c>
      <c r="B253" s="1" t="s">
        <v>29</v>
      </c>
      <c r="C253" s="31" t="s">
        <v>32</v>
      </c>
      <c r="D253" s="49">
        <f>VLOOKUP(ToolFeatures[[#This Row],[FEATURE CODE]],FeatureTree[],5,FALSE)</f>
        <v>5</v>
      </c>
      <c r="E253" s="49" t="str">
        <f>VLOOKUP(ToolFeatures[[#This Row],[FEATURE CODE]],FeatureTree[],6,FALSE)</f>
        <v>Data profiling, measurement and visualization</v>
      </c>
      <c r="F253" s="49" t="str">
        <f>VLOOKUP(LEFT(ToolFeatures[[#This Row],[FEATURE CODE]],2),FeatureTree[],2,FALSE)</f>
        <v>Data Profiling, Exploration/Pattern Detection</v>
      </c>
      <c r="G253" s="49" t="str">
        <f>VLOOKUP(LEFT(ToolFeatures[[#This Row],[FEATURE CODE]],5),FeatureTree[],2,FALSE)</f>
        <v>Structure discovery</v>
      </c>
    </row>
    <row r="254" spans="1:7">
      <c r="A254" s="1" t="s">
        <v>190</v>
      </c>
      <c r="B254" s="1" t="s">
        <v>102</v>
      </c>
      <c r="C254" s="31" t="s">
        <v>99</v>
      </c>
      <c r="D254" s="49">
        <f>VLOOKUP(ToolFeatures[[#This Row],[FEATURE CODE]],FeatureTree[],5,FALSE)</f>
        <v>5</v>
      </c>
      <c r="E254" s="49" t="str">
        <f>VLOOKUP(ToolFeatures[[#This Row],[FEATURE CODE]],FeatureTree[],6,FALSE)</f>
        <v>Connectivity</v>
      </c>
      <c r="F254" s="49" t="str">
        <f>VLOOKUP(LEFT(ToolFeatures[[#This Row],[FEATURE CODE]],2),FeatureTree[],2,FALSE)</f>
        <v>Data Ingestion and Integration</v>
      </c>
      <c r="G254" s="49" t="str">
        <f>VLOOKUP(LEFT(ToolFeatures[[#This Row],[FEATURE CODE]],5),FeatureTree[],2,FALSE)</f>
        <v>Data Consolidation</v>
      </c>
    </row>
    <row r="255" spans="1:7">
      <c r="A255" s="1" t="s">
        <v>192</v>
      </c>
      <c r="B255" s="1" t="s">
        <v>330</v>
      </c>
      <c r="C255" s="31" t="s">
        <v>331</v>
      </c>
      <c r="D255" s="49">
        <f>VLOOKUP(ToolFeatures[[#This Row],[FEATURE CODE]],FeatureTree[],5,FALSE)</f>
        <v>5</v>
      </c>
      <c r="E255" s="49" t="str">
        <f>VLOOKUP(ToolFeatures[[#This Row],[FEATURE CODE]],FeatureTree[],6,FALSE)</f>
        <v>Metadata management</v>
      </c>
      <c r="F255" s="49" t="str">
        <f>VLOOKUP(LEFT(ToolFeatures[[#This Row],[FEATURE CODE]],2),FeatureTree[],2,FALSE)</f>
        <v>Data Use</v>
      </c>
      <c r="G255" s="49" t="str">
        <f>VLOOKUP(LEFT(ToolFeatures[[#This Row],[FEATURE CODE]],5),FeatureTree[],2,FALSE)</f>
        <v>Metadata Management</v>
      </c>
    </row>
    <row r="256" spans="1:7">
      <c r="A256" s="1" t="s">
        <v>192</v>
      </c>
      <c r="B256" s="1" t="s">
        <v>231</v>
      </c>
      <c r="C256" s="31" t="s">
        <v>232</v>
      </c>
      <c r="D256" s="49">
        <f>VLOOKUP(ToolFeatures[[#This Row],[FEATURE CODE]],FeatureTree[],5,FALSE)</f>
        <v>5</v>
      </c>
      <c r="E256" s="49" t="str">
        <f>VLOOKUP(ToolFeatures[[#This Row],[FEATURE CODE]],FeatureTree[],6,FALSE)</f>
        <v>Usability</v>
      </c>
      <c r="F256" s="49" t="str">
        <f>VLOOKUP(LEFT(ToolFeatures[[#This Row],[FEATURE CODE]],2),FeatureTree[],2,FALSE)</f>
        <v>Data Use</v>
      </c>
      <c r="G256" s="49" t="str">
        <f>VLOOKUP(LEFT(ToolFeatures[[#This Row],[FEATURE CODE]],5),FeatureTree[],2,FALSE)</f>
        <v>Data Mining</v>
      </c>
    </row>
    <row r="257" spans="1:7">
      <c r="A257" s="1" t="s">
        <v>192</v>
      </c>
      <c r="B257" s="1" t="s">
        <v>233</v>
      </c>
      <c r="C257" s="31" t="s">
        <v>238</v>
      </c>
      <c r="D257" s="49">
        <f>VLOOKUP(ToolFeatures[[#This Row],[FEATURE CODE]],FeatureTree[],5,FALSE)</f>
        <v>5</v>
      </c>
      <c r="E257" s="49" t="str">
        <f>VLOOKUP(ToolFeatures[[#This Row],[FEATURE CODE]],FeatureTree[],6,FALSE)</f>
        <v>Usability</v>
      </c>
      <c r="F257" s="49" t="str">
        <f>VLOOKUP(LEFT(ToolFeatures[[#This Row],[FEATURE CODE]],2),FeatureTree[],2,FALSE)</f>
        <v>Data Use</v>
      </c>
      <c r="G257" s="49" t="str">
        <f>VLOOKUP(LEFT(ToolFeatures[[#This Row],[FEATURE CODE]],5),FeatureTree[],2,FALSE)</f>
        <v>Data Mining</v>
      </c>
    </row>
    <row r="258" spans="1:7">
      <c r="A258" s="1" t="s">
        <v>192</v>
      </c>
      <c r="B258" s="1" t="s">
        <v>234</v>
      </c>
      <c r="C258" s="31" t="s">
        <v>235</v>
      </c>
      <c r="D258" s="49">
        <f>VLOOKUP(ToolFeatures[[#This Row],[FEATURE CODE]],FeatureTree[],5,FALSE)</f>
        <v>5</v>
      </c>
      <c r="E258" s="49" t="str">
        <f>VLOOKUP(ToolFeatures[[#This Row],[FEATURE CODE]],FeatureTree[],6,FALSE)</f>
        <v>Usability</v>
      </c>
      <c r="F258" s="49" t="str">
        <f>VLOOKUP(LEFT(ToolFeatures[[#This Row],[FEATURE CODE]],2),FeatureTree[],2,FALSE)</f>
        <v>Data Use</v>
      </c>
      <c r="G258" s="49" t="str">
        <f>VLOOKUP(LEFT(ToolFeatures[[#This Row],[FEATURE CODE]],5),FeatureTree[],2,FALSE)</f>
        <v>Data Mining</v>
      </c>
    </row>
    <row r="259" spans="1:7">
      <c r="A259" s="1" t="s">
        <v>192</v>
      </c>
      <c r="B259" s="1" t="s">
        <v>239</v>
      </c>
      <c r="C259" s="31" t="s">
        <v>237</v>
      </c>
      <c r="D259" s="49">
        <f>VLOOKUP(ToolFeatures[[#This Row],[FEATURE CODE]],FeatureTree[],5,FALSE)</f>
        <v>5</v>
      </c>
      <c r="E259" s="49" t="str">
        <f>VLOOKUP(ToolFeatures[[#This Row],[FEATURE CODE]],FeatureTree[],6,FALSE)</f>
        <v>Architecture and integration</v>
      </c>
      <c r="F259" s="49" t="str">
        <f>VLOOKUP(LEFT(ToolFeatures[[#This Row],[FEATURE CODE]],2),FeatureTree[],2,FALSE)</f>
        <v>Data Use</v>
      </c>
      <c r="G259" s="49" t="str">
        <f>VLOOKUP(LEFT(ToolFeatures[[#This Row],[FEATURE CODE]],5),FeatureTree[],2,FALSE)</f>
        <v>Data Mining</v>
      </c>
    </row>
    <row r="260" spans="1:7">
      <c r="A260" s="1" t="s">
        <v>285</v>
      </c>
      <c r="B260" s="1" t="s">
        <v>17</v>
      </c>
      <c r="C260" s="31" t="s">
        <v>16</v>
      </c>
      <c r="D260" s="49">
        <f>VLOOKUP(ToolFeatures[[#This Row],[FEATURE CODE]],FeatureTree[],5,FALSE)</f>
        <v>5</v>
      </c>
      <c r="E260" s="49" t="str">
        <f>VLOOKUP(ToolFeatures[[#This Row],[FEATURE CODE]],FeatureTree[],6,FALSE)</f>
        <v>Data profiling, measurement and visualization</v>
      </c>
      <c r="F260" s="49" t="str">
        <f>VLOOKUP(LEFT(ToolFeatures[[#This Row],[FEATURE CODE]],2),FeatureTree[],2,FALSE)</f>
        <v>Data Profiling, Exploration/Pattern Detection</v>
      </c>
      <c r="G260" s="49" t="str">
        <f>VLOOKUP(LEFT(ToolFeatures[[#This Row],[FEATURE CODE]],5),FeatureTree[],2,FALSE)</f>
        <v>Relationship discovery</v>
      </c>
    </row>
    <row r="261" spans="1:7">
      <c r="A261" s="1" t="s">
        <v>285</v>
      </c>
      <c r="B261" s="1" t="s">
        <v>18</v>
      </c>
      <c r="C261" s="31" t="s">
        <v>164</v>
      </c>
      <c r="D261" s="49">
        <f>VLOOKUP(ToolFeatures[[#This Row],[FEATURE CODE]],FeatureTree[],5,FALSE)</f>
        <v>5</v>
      </c>
      <c r="E261" s="49" t="str">
        <f>VLOOKUP(ToolFeatures[[#This Row],[FEATURE CODE]],FeatureTree[],6,FALSE)</f>
        <v>Data profiling, measurement and visualization</v>
      </c>
      <c r="F261" s="49" t="str">
        <f>VLOOKUP(LEFT(ToolFeatures[[#This Row],[FEATURE CODE]],2),FeatureTree[],2,FALSE)</f>
        <v>Data Profiling, Exploration/Pattern Detection</v>
      </c>
      <c r="G261" s="49" t="str">
        <f>VLOOKUP(LEFT(ToolFeatures[[#This Row],[FEATURE CODE]],5),FeatureTree[],2,FALSE)</f>
        <v>Relationship discovery</v>
      </c>
    </row>
    <row r="262" spans="1:7" ht="30">
      <c r="A262" s="1" t="s">
        <v>285</v>
      </c>
      <c r="B262" s="1" t="s">
        <v>19</v>
      </c>
      <c r="C262" s="31" t="s">
        <v>20</v>
      </c>
      <c r="D262" s="49">
        <f>VLOOKUP(ToolFeatures[[#This Row],[FEATURE CODE]],FeatureTree[],5,FALSE)</f>
        <v>5</v>
      </c>
      <c r="E262" s="49" t="str">
        <f>VLOOKUP(ToolFeatures[[#This Row],[FEATURE CODE]],FeatureTree[],6,FALSE)</f>
        <v>Data profiling, measurement and visualization</v>
      </c>
      <c r="F262" s="49" t="str">
        <f>VLOOKUP(LEFT(ToolFeatures[[#This Row],[FEATURE CODE]],2),FeatureTree[],2,FALSE)</f>
        <v>Data Profiling, Exploration/Pattern Detection</v>
      </c>
      <c r="G262" s="49" t="str">
        <f>VLOOKUP(LEFT(ToolFeatures[[#This Row],[FEATURE CODE]],5),FeatureTree[],2,FALSE)</f>
        <v>Relationship discovery</v>
      </c>
    </row>
    <row r="263" spans="1:7">
      <c r="A263" s="1" t="s">
        <v>285</v>
      </c>
      <c r="B263" s="1" t="s">
        <v>21</v>
      </c>
      <c r="C263" s="31" t="s">
        <v>24</v>
      </c>
      <c r="D263" s="49">
        <f>VLOOKUP(ToolFeatures[[#This Row],[FEATURE CODE]],FeatureTree[],5,FALSE)</f>
        <v>5</v>
      </c>
      <c r="E263" s="49" t="str">
        <f>VLOOKUP(ToolFeatures[[#This Row],[FEATURE CODE]],FeatureTree[],6,FALSE)</f>
        <v>Data profiling, measurement and visualization</v>
      </c>
      <c r="F263" s="49" t="str">
        <f>VLOOKUP(LEFT(ToolFeatures[[#This Row],[FEATURE CODE]],2),FeatureTree[],2,FALSE)</f>
        <v>Data Profiling, Exploration/Pattern Detection</v>
      </c>
      <c r="G263" s="49" t="str">
        <f>VLOOKUP(LEFT(ToolFeatures[[#This Row],[FEATURE CODE]],5),FeatureTree[],2,FALSE)</f>
        <v>Content discovery</v>
      </c>
    </row>
    <row r="264" spans="1:7">
      <c r="A264" s="1" t="s">
        <v>285</v>
      </c>
      <c r="B264" s="1" t="s">
        <v>22</v>
      </c>
      <c r="C264" s="31" t="s">
        <v>25</v>
      </c>
      <c r="D264" s="49">
        <f>VLOOKUP(ToolFeatures[[#This Row],[FEATURE CODE]],FeatureTree[],5,FALSE)</f>
        <v>5</v>
      </c>
      <c r="E264" s="49" t="str">
        <f>VLOOKUP(ToolFeatures[[#This Row],[FEATURE CODE]],FeatureTree[],6,FALSE)</f>
        <v>Data profiling, measurement and visualization</v>
      </c>
      <c r="F264" s="49" t="str">
        <f>VLOOKUP(LEFT(ToolFeatures[[#This Row],[FEATURE CODE]],2),FeatureTree[],2,FALSE)</f>
        <v>Data Profiling, Exploration/Pattern Detection</v>
      </c>
      <c r="G264" s="49" t="str">
        <f>VLOOKUP(LEFT(ToolFeatures[[#This Row],[FEATURE CODE]],5),FeatureTree[],2,FALSE)</f>
        <v>Content discovery</v>
      </c>
    </row>
    <row r="265" spans="1:7">
      <c r="A265" s="1" t="s">
        <v>285</v>
      </c>
      <c r="B265" s="1" t="s">
        <v>23</v>
      </c>
      <c r="C265" s="31" t="s">
        <v>26</v>
      </c>
      <c r="D265" s="49">
        <f>VLOOKUP(ToolFeatures[[#This Row],[FEATURE CODE]],FeatureTree[],5,FALSE)</f>
        <v>5</v>
      </c>
      <c r="E265" s="49" t="str">
        <f>VLOOKUP(ToolFeatures[[#This Row],[FEATURE CODE]],FeatureTree[],6,FALSE)</f>
        <v>Data profiling, measurement and visualization</v>
      </c>
      <c r="F265" s="49" t="str">
        <f>VLOOKUP(LEFT(ToolFeatures[[#This Row],[FEATURE CODE]],2),FeatureTree[],2,FALSE)</f>
        <v>Data Profiling, Exploration/Pattern Detection</v>
      </c>
      <c r="G265" s="49" t="str">
        <f>VLOOKUP(LEFT(ToolFeatures[[#This Row],[FEATURE CODE]],5),FeatureTree[],2,FALSE)</f>
        <v>Content discovery</v>
      </c>
    </row>
    <row r="266" spans="1:7" ht="30">
      <c r="A266" s="1" t="s">
        <v>285</v>
      </c>
      <c r="B266" s="1" t="s">
        <v>27</v>
      </c>
      <c r="C266" s="31" t="s">
        <v>30</v>
      </c>
      <c r="D266" s="49">
        <f>VLOOKUP(ToolFeatures[[#This Row],[FEATURE CODE]],FeatureTree[],5,FALSE)</f>
        <v>5</v>
      </c>
      <c r="E266" s="49" t="str">
        <f>VLOOKUP(ToolFeatures[[#This Row],[FEATURE CODE]],FeatureTree[],6,FALSE)</f>
        <v>Data profiling, measurement and visualization</v>
      </c>
      <c r="F266" s="49" t="str">
        <f>VLOOKUP(LEFT(ToolFeatures[[#This Row],[FEATURE CODE]],2),FeatureTree[],2,FALSE)</f>
        <v>Data Profiling, Exploration/Pattern Detection</v>
      </c>
      <c r="G266" s="49" t="str">
        <f>VLOOKUP(LEFT(ToolFeatures[[#This Row],[FEATURE CODE]],5),FeatureTree[],2,FALSE)</f>
        <v>Structure discovery</v>
      </c>
    </row>
    <row r="267" spans="1:7">
      <c r="A267" s="1" t="s">
        <v>285</v>
      </c>
      <c r="B267" s="1" t="s">
        <v>28</v>
      </c>
      <c r="C267" s="31" t="s">
        <v>31</v>
      </c>
      <c r="D267" s="49">
        <f>VLOOKUP(ToolFeatures[[#This Row],[FEATURE CODE]],FeatureTree[],5,FALSE)</f>
        <v>5</v>
      </c>
      <c r="E267" s="49" t="str">
        <f>VLOOKUP(ToolFeatures[[#This Row],[FEATURE CODE]],FeatureTree[],6,FALSE)</f>
        <v>Data profiling, measurement and visualization</v>
      </c>
      <c r="F267" s="49" t="str">
        <f>VLOOKUP(LEFT(ToolFeatures[[#This Row],[FEATURE CODE]],2),FeatureTree[],2,FALSE)</f>
        <v>Data Profiling, Exploration/Pattern Detection</v>
      </c>
      <c r="G267" s="49" t="str">
        <f>VLOOKUP(LEFT(ToolFeatures[[#This Row],[FEATURE CODE]],5),FeatureTree[],2,FALSE)</f>
        <v>Structure discovery</v>
      </c>
    </row>
    <row r="268" spans="1:7">
      <c r="A268" s="1" t="s">
        <v>285</v>
      </c>
      <c r="B268" s="1" t="s">
        <v>29</v>
      </c>
      <c r="C268" s="31" t="s">
        <v>32</v>
      </c>
      <c r="D268" s="49">
        <f>VLOOKUP(ToolFeatures[[#This Row],[FEATURE CODE]],FeatureTree[],5,FALSE)</f>
        <v>5</v>
      </c>
      <c r="E268" s="49" t="str">
        <f>VLOOKUP(ToolFeatures[[#This Row],[FEATURE CODE]],FeatureTree[],6,FALSE)</f>
        <v>Data profiling, measurement and visualization</v>
      </c>
      <c r="F268" s="49" t="str">
        <f>VLOOKUP(LEFT(ToolFeatures[[#This Row],[FEATURE CODE]],2),FeatureTree[],2,FALSE)</f>
        <v>Data Profiling, Exploration/Pattern Detection</v>
      </c>
      <c r="G268" s="49" t="str">
        <f>VLOOKUP(LEFT(ToolFeatures[[#This Row],[FEATURE CODE]],5),FeatureTree[],2,FALSE)</f>
        <v>Structure discovery</v>
      </c>
    </row>
    <row r="269" spans="1:7">
      <c r="A269" s="1" t="s">
        <v>285</v>
      </c>
      <c r="B269" s="1" t="s">
        <v>102</v>
      </c>
      <c r="C269" s="31" t="s">
        <v>99</v>
      </c>
      <c r="D269" s="49">
        <f>VLOOKUP(ToolFeatures[[#This Row],[FEATURE CODE]],FeatureTree[],5,FALSE)</f>
        <v>5</v>
      </c>
      <c r="E269" s="49" t="str">
        <f>VLOOKUP(ToolFeatures[[#This Row],[FEATURE CODE]],FeatureTree[],6,FALSE)</f>
        <v>Connectivity</v>
      </c>
      <c r="F269" s="49" t="str">
        <f>VLOOKUP(LEFT(ToolFeatures[[#This Row],[FEATURE CODE]],2),FeatureTree[],2,FALSE)</f>
        <v>Data Ingestion and Integration</v>
      </c>
      <c r="G269" s="49" t="str">
        <f>VLOOKUP(LEFT(ToolFeatures[[#This Row],[FEATURE CODE]],5),FeatureTree[],2,FALSE)</f>
        <v>Data Consolidation</v>
      </c>
    </row>
    <row r="270" spans="1:7">
      <c r="A270" s="1" t="s">
        <v>285</v>
      </c>
      <c r="B270" s="1" t="s">
        <v>68</v>
      </c>
      <c r="C270" s="31" t="s">
        <v>78</v>
      </c>
      <c r="D270" s="49">
        <f>VLOOKUP(ToolFeatures[[#This Row],[FEATURE CODE]],FeatureTree[],5,FALSE)</f>
        <v>5</v>
      </c>
      <c r="E270" s="49" t="str">
        <f>VLOOKUP(ToolFeatures[[#This Row],[FEATURE CODE]],FeatureTree[],6,FALSE)</f>
        <v>Data curation and enrichment</v>
      </c>
      <c r="F270" s="49" t="str">
        <f>VLOOKUP(LEFT(ToolFeatures[[#This Row],[FEATURE CODE]],2),FeatureTree[],2,FALSE)</f>
        <v>Data Preparation and Cleaning</v>
      </c>
      <c r="G270" s="49" t="str">
        <f>VLOOKUP(LEFT(ToolFeatures[[#This Row],[FEATURE CODE]],5),FeatureTree[],2,FALSE)</f>
        <v>Identity Resolution, Linkage, Merging &amp; Consolidation</v>
      </c>
    </row>
    <row r="271" spans="1:7">
      <c r="A271" s="1" t="s">
        <v>285</v>
      </c>
      <c r="B271" s="1" t="s">
        <v>231</v>
      </c>
      <c r="C271" s="31" t="s">
        <v>232</v>
      </c>
      <c r="D271" s="49">
        <f>VLOOKUP(ToolFeatures[[#This Row],[FEATURE CODE]],FeatureTree[],5,FALSE)</f>
        <v>5</v>
      </c>
      <c r="E271" s="49" t="str">
        <f>VLOOKUP(ToolFeatures[[#This Row],[FEATURE CODE]],FeatureTree[],6,FALSE)</f>
        <v>Usability</v>
      </c>
      <c r="F271" s="49" t="str">
        <f>VLOOKUP(LEFT(ToolFeatures[[#This Row],[FEATURE CODE]],2),FeatureTree[],2,FALSE)</f>
        <v>Data Use</v>
      </c>
      <c r="G271" s="49" t="str">
        <f>VLOOKUP(LEFT(ToolFeatures[[#This Row],[FEATURE CODE]],5),FeatureTree[],2,FALSE)</f>
        <v>Data Mining</v>
      </c>
    </row>
    <row r="272" spans="1:7">
      <c r="A272" s="1" t="s">
        <v>285</v>
      </c>
      <c r="B272" s="1" t="s">
        <v>233</v>
      </c>
      <c r="C272" s="31" t="s">
        <v>238</v>
      </c>
      <c r="D272" s="49">
        <f>VLOOKUP(ToolFeatures[[#This Row],[FEATURE CODE]],FeatureTree[],5,FALSE)</f>
        <v>5</v>
      </c>
      <c r="E272" s="49" t="str">
        <f>VLOOKUP(ToolFeatures[[#This Row],[FEATURE CODE]],FeatureTree[],6,FALSE)</f>
        <v>Usability</v>
      </c>
      <c r="F272" s="49" t="str">
        <f>VLOOKUP(LEFT(ToolFeatures[[#This Row],[FEATURE CODE]],2),FeatureTree[],2,FALSE)</f>
        <v>Data Use</v>
      </c>
      <c r="G272" s="49" t="str">
        <f>VLOOKUP(LEFT(ToolFeatures[[#This Row],[FEATURE CODE]],5),FeatureTree[],2,FALSE)</f>
        <v>Data Mining</v>
      </c>
    </row>
    <row r="273" spans="1:7">
      <c r="A273" s="1" t="s">
        <v>285</v>
      </c>
      <c r="B273" s="1" t="s">
        <v>234</v>
      </c>
      <c r="C273" s="31" t="s">
        <v>235</v>
      </c>
      <c r="D273" s="49">
        <f>VLOOKUP(ToolFeatures[[#This Row],[FEATURE CODE]],FeatureTree[],5,FALSE)</f>
        <v>5</v>
      </c>
      <c r="E273" s="49" t="str">
        <f>VLOOKUP(ToolFeatures[[#This Row],[FEATURE CODE]],FeatureTree[],6,FALSE)</f>
        <v>Usability</v>
      </c>
      <c r="F273" s="49" t="str">
        <f>VLOOKUP(LEFT(ToolFeatures[[#This Row],[FEATURE CODE]],2),FeatureTree[],2,FALSE)</f>
        <v>Data Use</v>
      </c>
      <c r="G273" s="49" t="str">
        <f>VLOOKUP(LEFT(ToolFeatures[[#This Row],[FEATURE CODE]],5),FeatureTree[],2,FALSE)</f>
        <v>Data Mining</v>
      </c>
    </row>
    <row r="274" spans="1:7">
      <c r="A274" s="1" t="s">
        <v>285</v>
      </c>
      <c r="B274" s="1" t="s">
        <v>239</v>
      </c>
      <c r="C274" s="31" t="s">
        <v>237</v>
      </c>
      <c r="D274" s="49">
        <f>VLOOKUP(ToolFeatures[[#This Row],[FEATURE CODE]],FeatureTree[],5,FALSE)</f>
        <v>5</v>
      </c>
      <c r="E274" s="49" t="str">
        <f>VLOOKUP(ToolFeatures[[#This Row],[FEATURE CODE]],FeatureTree[],6,FALSE)</f>
        <v>Architecture and integration</v>
      </c>
      <c r="F274" s="49" t="str">
        <f>VLOOKUP(LEFT(ToolFeatures[[#This Row],[FEATURE CODE]],2),FeatureTree[],2,FALSE)</f>
        <v>Data Use</v>
      </c>
      <c r="G274" s="49" t="str">
        <f>VLOOKUP(LEFT(ToolFeatures[[#This Row],[FEATURE CODE]],5),FeatureTree[],2,FALSE)</f>
        <v>Data Mining</v>
      </c>
    </row>
    <row r="275" spans="1:7">
      <c r="A275" s="1" t="s">
        <v>285</v>
      </c>
      <c r="B275" s="1" t="s">
        <v>127</v>
      </c>
      <c r="C275" s="31" t="s">
        <v>129</v>
      </c>
      <c r="D275" s="49">
        <f>VLOOKUP(ToolFeatures[[#This Row],[FEATURE CODE]],FeatureTree[],5,FALSE)</f>
        <v>5</v>
      </c>
      <c r="E275" s="49" t="str">
        <f>VLOOKUP(ToolFeatures[[#This Row],[FEATURE CODE]],FeatureTree[],6,FALSE)</f>
        <v>Monitoring</v>
      </c>
      <c r="F275" s="49" t="str">
        <f>VLOOKUP(LEFT(ToolFeatures[[#This Row],[FEATURE CODE]],2),FeatureTree[],2,FALSE)</f>
        <v>Data Monitoring</v>
      </c>
      <c r="G275" s="49" t="str">
        <f>VLOOKUP(LEFT(ToolFeatures[[#This Row],[FEATURE CODE]],5),FeatureTree[],2,FALSE)</f>
        <v>Monitoring &amp; Alerting</v>
      </c>
    </row>
    <row r="276" spans="1:7">
      <c r="A276" s="1" t="s">
        <v>285</v>
      </c>
      <c r="B276" s="1" t="s">
        <v>131</v>
      </c>
      <c r="C276" s="31" t="s">
        <v>128</v>
      </c>
      <c r="D276" s="49">
        <f>VLOOKUP(ToolFeatures[[#This Row],[FEATURE CODE]],FeatureTree[],5,FALSE)</f>
        <v>5</v>
      </c>
      <c r="E276" s="49" t="str">
        <f>VLOOKUP(ToolFeatures[[#This Row],[FEATURE CODE]],FeatureTree[],6,FALSE)</f>
        <v>Monitoring</v>
      </c>
      <c r="F276" s="49" t="str">
        <f>VLOOKUP(LEFT(ToolFeatures[[#This Row],[FEATURE CODE]],2),FeatureTree[],2,FALSE)</f>
        <v>Data Monitoring</v>
      </c>
      <c r="G276" s="49" t="str">
        <f>VLOOKUP(LEFT(ToolFeatures[[#This Row],[FEATURE CODE]],5),FeatureTree[],2,FALSE)</f>
        <v>Monitoring &amp; Alerting</v>
      </c>
    </row>
    <row r="277" spans="1:7">
      <c r="A277" s="1" t="s">
        <v>285</v>
      </c>
      <c r="B277" s="1" t="s">
        <v>132</v>
      </c>
      <c r="C277" s="31" t="s">
        <v>130</v>
      </c>
      <c r="D277" s="49">
        <f>VLOOKUP(ToolFeatures[[#This Row],[FEATURE CODE]],FeatureTree[],5,FALSE)</f>
        <v>5</v>
      </c>
      <c r="E277" s="49" t="str">
        <f>VLOOKUP(ToolFeatures[[#This Row],[FEATURE CODE]],FeatureTree[],6,FALSE)</f>
        <v>Monitoring</v>
      </c>
      <c r="F277" s="49" t="str">
        <f>VLOOKUP(LEFT(ToolFeatures[[#This Row],[FEATURE CODE]],2),FeatureTree[],2,FALSE)</f>
        <v>Data Monitoring</v>
      </c>
      <c r="G277" s="49" t="str">
        <f>VLOOKUP(LEFT(ToolFeatures[[#This Row],[FEATURE CODE]],5),FeatureTree[],2,FALSE)</f>
        <v>Monitoring &amp; Alerting</v>
      </c>
    </row>
    <row r="278" spans="1:7" ht="30">
      <c r="A278" s="1" t="s">
        <v>357</v>
      </c>
      <c r="B278" s="1" t="s">
        <v>27</v>
      </c>
      <c r="C278" s="31" t="s">
        <v>30</v>
      </c>
      <c r="D278" s="49">
        <f>VLOOKUP(ToolFeatures[[#This Row],[FEATURE CODE]],FeatureTree[],5,FALSE)</f>
        <v>5</v>
      </c>
      <c r="E278" s="49" t="str">
        <f>VLOOKUP(ToolFeatures[[#This Row],[FEATURE CODE]],FeatureTree[],6,FALSE)</f>
        <v>Data profiling, measurement and visualization</v>
      </c>
      <c r="F278" s="49" t="str">
        <f>VLOOKUP(LEFT(ToolFeatures[[#This Row],[FEATURE CODE]],2),FeatureTree[],2,FALSE)</f>
        <v>Data Profiling, Exploration/Pattern Detection</v>
      </c>
      <c r="G278" s="49" t="str">
        <f>VLOOKUP(LEFT(ToolFeatures[[#This Row],[FEATURE CODE]],5),FeatureTree[],2,FALSE)</f>
        <v>Structure discovery</v>
      </c>
    </row>
    <row r="279" spans="1:7">
      <c r="A279" s="1" t="s">
        <v>357</v>
      </c>
      <c r="B279" s="1" t="s">
        <v>101</v>
      </c>
      <c r="C279" s="31" t="s">
        <v>98</v>
      </c>
      <c r="D279" s="49">
        <f>VLOOKUP(ToolFeatures[[#This Row],[FEATURE CODE]],FeatureTree[],5,FALSE)</f>
        <v>4</v>
      </c>
      <c r="E279" s="49" t="str">
        <f>VLOOKUP(ToolFeatures[[#This Row],[FEATURE CODE]],FeatureTree[],6,FALSE)</f>
        <v>Connectivity</v>
      </c>
      <c r="F279" s="49" t="str">
        <f>VLOOKUP(LEFT(ToolFeatures[[#This Row],[FEATURE CODE]],2),FeatureTree[],2,FALSE)</f>
        <v>Data Ingestion and Integration</v>
      </c>
      <c r="G279" s="49" t="str">
        <f>VLOOKUP(LEFT(ToolFeatures[[#This Row],[FEATURE CODE]],5),FeatureTree[],2,FALSE)</f>
        <v>Data Consolidation</v>
      </c>
    </row>
    <row r="280" spans="1:7" ht="30">
      <c r="A280" s="1" t="s">
        <v>370</v>
      </c>
      <c r="B280" s="1" t="s">
        <v>27</v>
      </c>
      <c r="C280" s="31" t="s">
        <v>30</v>
      </c>
      <c r="D280" s="49">
        <f>VLOOKUP(ToolFeatures[[#This Row],[FEATURE CODE]],FeatureTree[],5,FALSE)</f>
        <v>5</v>
      </c>
      <c r="E280" s="49" t="str">
        <f>VLOOKUP(ToolFeatures[[#This Row],[FEATURE CODE]],FeatureTree[],6,FALSE)</f>
        <v>Data profiling, measurement and visualization</v>
      </c>
      <c r="F280" s="49" t="str">
        <f>VLOOKUP(LEFT(ToolFeatures[[#This Row],[FEATURE CODE]],2),FeatureTree[],2,FALSE)</f>
        <v>Data Profiling, Exploration/Pattern Detection</v>
      </c>
      <c r="G280" s="49" t="str">
        <f>VLOOKUP(LEFT(ToolFeatures[[#This Row],[FEATURE CODE]],5),FeatureTree[],2,FALSE)</f>
        <v>Structure discovery</v>
      </c>
    </row>
    <row r="281" spans="1:7">
      <c r="A281" s="1" t="s">
        <v>370</v>
      </c>
      <c r="B281" s="1" t="s">
        <v>102</v>
      </c>
      <c r="C281" s="31" t="s">
        <v>99</v>
      </c>
      <c r="D281" s="49">
        <f>VLOOKUP(ToolFeatures[[#This Row],[FEATURE CODE]],FeatureTree[],5,FALSE)</f>
        <v>5</v>
      </c>
      <c r="E281" s="49" t="str">
        <f>VLOOKUP(ToolFeatures[[#This Row],[FEATURE CODE]],FeatureTree[],6,FALSE)</f>
        <v>Connectivity</v>
      </c>
      <c r="F281" s="49" t="str">
        <f>VLOOKUP(LEFT(ToolFeatures[[#This Row],[FEATURE CODE]],2),FeatureTree[],2,FALSE)</f>
        <v>Data Ingestion and Integration</v>
      </c>
      <c r="G281" s="49" t="str">
        <f>VLOOKUP(LEFT(ToolFeatures[[#This Row],[FEATURE CODE]],5),FeatureTree[],2,FALSE)</f>
        <v>Data Consolidation</v>
      </c>
    </row>
    <row r="282" spans="1:7" ht="30">
      <c r="A282" s="1" t="s">
        <v>370</v>
      </c>
      <c r="B282" s="1" t="s">
        <v>47</v>
      </c>
      <c r="C282" s="31" t="s">
        <v>94</v>
      </c>
      <c r="D282" s="49">
        <f>VLOOKUP(ToolFeatures[[#This Row],[FEATURE CODE]],FeatureTree[],5,FALSE)</f>
        <v>5</v>
      </c>
      <c r="E282" s="49" t="str">
        <f>VLOOKUP(ToolFeatures[[#This Row],[FEATURE CODE]],FeatureTree[],6,FALSE)</f>
        <v>Issue resolution and workflow</v>
      </c>
      <c r="F282" s="49" t="str">
        <f>VLOOKUP(LEFT(ToolFeatures[[#This Row],[FEATURE CODE]],2),FeatureTree[],2,FALSE)</f>
        <v>Data Ingestion and Integration</v>
      </c>
      <c r="G282" s="49" t="str">
        <f>VLOOKUP(LEFT(ToolFeatures[[#This Row],[FEATURE CODE]],5),FeatureTree[],2,FALSE)</f>
        <v>Data Propagation</v>
      </c>
    </row>
    <row r="283" spans="1:7">
      <c r="A283" s="1" t="s">
        <v>370</v>
      </c>
      <c r="B283" s="1" t="s">
        <v>127</v>
      </c>
      <c r="C283" s="31" t="s">
        <v>129</v>
      </c>
      <c r="D283" s="49">
        <f>VLOOKUP(ToolFeatures[[#This Row],[FEATURE CODE]],FeatureTree[],5,FALSE)</f>
        <v>5</v>
      </c>
      <c r="E283" s="49" t="str">
        <f>VLOOKUP(ToolFeatures[[#This Row],[FEATURE CODE]],FeatureTree[],6,FALSE)</f>
        <v>Monitoring</v>
      </c>
      <c r="F283" s="49" t="str">
        <f>VLOOKUP(LEFT(ToolFeatures[[#This Row],[FEATURE CODE]],2),FeatureTree[],2,FALSE)</f>
        <v>Data Monitoring</v>
      </c>
      <c r="G283" s="49" t="str">
        <f>VLOOKUP(LEFT(ToolFeatures[[#This Row],[FEATURE CODE]],5),FeatureTree[],2,FALSE)</f>
        <v>Monitoring &amp; Alerting</v>
      </c>
    </row>
    <row r="284" spans="1:7">
      <c r="A284" s="1" t="s">
        <v>370</v>
      </c>
      <c r="B284" s="1" t="s">
        <v>132</v>
      </c>
      <c r="C284" s="31" t="s">
        <v>130</v>
      </c>
      <c r="D284" s="49">
        <f>VLOOKUP(ToolFeatures[[#This Row],[FEATURE CODE]],FeatureTree[],5,FALSE)</f>
        <v>5</v>
      </c>
      <c r="E284" s="49" t="str">
        <f>VLOOKUP(ToolFeatures[[#This Row],[FEATURE CODE]],FeatureTree[],6,FALSE)</f>
        <v>Monitoring</v>
      </c>
      <c r="F284" s="49" t="str">
        <f>VLOOKUP(LEFT(ToolFeatures[[#This Row],[FEATURE CODE]],2),FeatureTree[],2,FALSE)</f>
        <v>Data Monitoring</v>
      </c>
      <c r="G284" s="49" t="str">
        <f>VLOOKUP(LEFT(ToolFeatures[[#This Row],[FEATURE CODE]],5),FeatureTree[],2,FALSE)</f>
        <v>Monitoring &amp; Alerting</v>
      </c>
    </row>
    <row r="285" spans="1:7">
      <c r="A285" s="1" t="s">
        <v>168</v>
      </c>
      <c r="B285" s="1" t="s">
        <v>17</v>
      </c>
      <c r="C285" s="31" t="s">
        <v>16</v>
      </c>
      <c r="D285" s="49">
        <f>VLOOKUP(ToolFeatures[[#This Row],[FEATURE CODE]],FeatureTree[],5,FALSE)</f>
        <v>5</v>
      </c>
      <c r="E285" s="49" t="str">
        <f>VLOOKUP(ToolFeatures[[#This Row],[FEATURE CODE]],FeatureTree[],6,FALSE)</f>
        <v>Data profiling, measurement and visualization</v>
      </c>
      <c r="F285" s="49" t="str">
        <f>VLOOKUP(LEFT(ToolFeatures[[#This Row],[FEATURE CODE]],2),FeatureTree[],2,FALSE)</f>
        <v>Data Profiling, Exploration/Pattern Detection</v>
      </c>
      <c r="G285" s="49" t="str">
        <f>VLOOKUP(LEFT(ToolFeatures[[#This Row],[FEATURE CODE]],5),FeatureTree[],2,FALSE)</f>
        <v>Relationship discovery</v>
      </c>
    </row>
    <row r="286" spans="1:7">
      <c r="A286" s="1" t="s">
        <v>168</v>
      </c>
      <c r="B286" s="1" t="s">
        <v>18</v>
      </c>
      <c r="C286" s="31" t="s">
        <v>164</v>
      </c>
      <c r="D286" s="49">
        <f>VLOOKUP(ToolFeatures[[#This Row],[FEATURE CODE]],FeatureTree[],5,FALSE)</f>
        <v>5</v>
      </c>
      <c r="E286" s="49" t="str">
        <f>VLOOKUP(ToolFeatures[[#This Row],[FEATURE CODE]],FeatureTree[],6,FALSE)</f>
        <v>Data profiling, measurement and visualization</v>
      </c>
      <c r="F286" s="49" t="str">
        <f>VLOOKUP(LEFT(ToolFeatures[[#This Row],[FEATURE CODE]],2),FeatureTree[],2,FALSE)</f>
        <v>Data Profiling, Exploration/Pattern Detection</v>
      </c>
      <c r="G286" s="49" t="str">
        <f>VLOOKUP(LEFT(ToolFeatures[[#This Row],[FEATURE CODE]],5),FeatureTree[],2,FALSE)</f>
        <v>Relationship discovery</v>
      </c>
    </row>
    <row r="287" spans="1:7" ht="30">
      <c r="A287" s="1" t="s">
        <v>168</v>
      </c>
      <c r="B287" s="1" t="s">
        <v>19</v>
      </c>
      <c r="C287" s="31" t="s">
        <v>20</v>
      </c>
      <c r="D287" s="49">
        <f>VLOOKUP(ToolFeatures[[#This Row],[FEATURE CODE]],FeatureTree[],5,FALSE)</f>
        <v>5</v>
      </c>
      <c r="E287" s="49" t="str">
        <f>VLOOKUP(ToolFeatures[[#This Row],[FEATURE CODE]],FeatureTree[],6,FALSE)</f>
        <v>Data profiling, measurement and visualization</v>
      </c>
      <c r="F287" s="49" t="str">
        <f>VLOOKUP(LEFT(ToolFeatures[[#This Row],[FEATURE CODE]],2),FeatureTree[],2,FALSE)</f>
        <v>Data Profiling, Exploration/Pattern Detection</v>
      </c>
      <c r="G287" s="49" t="str">
        <f>VLOOKUP(LEFT(ToolFeatures[[#This Row],[FEATURE CODE]],5),FeatureTree[],2,FALSE)</f>
        <v>Relationship discovery</v>
      </c>
    </row>
    <row r="288" spans="1:7">
      <c r="A288" s="1" t="s">
        <v>168</v>
      </c>
      <c r="B288" s="1" t="s">
        <v>21</v>
      </c>
      <c r="C288" s="31" t="s">
        <v>24</v>
      </c>
      <c r="D288" s="49">
        <f>VLOOKUP(ToolFeatures[[#This Row],[FEATURE CODE]],FeatureTree[],5,FALSE)</f>
        <v>5</v>
      </c>
      <c r="E288" s="49" t="str">
        <f>VLOOKUP(ToolFeatures[[#This Row],[FEATURE CODE]],FeatureTree[],6,FALSE)</f>
        <v>Data profiling, measurement and visualization</v>
      </c>
      <c r="F288" s="49" t="str">
        <f>VLOOKUP(LEFT(ToolFeatures[[#This Row],[FEATURE CODE]],2),FeatureTree[],2,FALSE)</f>
        <v>Data Profiling, Exploration/Pattern Detection</v>
      </c>
      <c r="G288" s="49" t="str">
        <f>VLOOKUP(LEFT(ToolFeatures[[#This Row],[FEATURE CODE]],5),FeatureTree[],2,FALSE)</f>
        <v>Content discovery</v>
      </c>
    </row>
    <row r="289" spans="1:7">
      <c r="A289" s="1" t="s">
        <v>168</v>
      </c>
      <c r="B289" s="1" t="s">
        <v>22</v>
      </c>
      <c r="C289" s="31" t="s">
        <v>25</v>
      </c>
      <c r="D289" s="49">
        <f>VLOOKUP(ToolFeatures[[#This Row],[FEATURE CODE]],FeatureTree[],5,FALSE)</f>
        <v>5</v>
      </c>
      <c r="E289" s="49" t="str">
        <f>VLOOKUP(ToolFeatures[[#This Row],[FEATURE CODE]],FeatureTree[],6,FALSE)</f>
        <v>Data profiling, measurement and visualization</v>
      </c>
      <c r="F289" s="49" t="str">
        <f>VLOOKUP(LEFT(ToolFeatures[[#This Row],[FEATURE CODE]],2),FeatureTree[],2,FALSE)</f>
        <v>Data Profiling, Exploration/Pattern Detection</v>
      </c>
      <c r="G289" s="49" t="str">
        <f>VLOOKUP(LEFT(ToolFeatures[[#This Row],[FEATURE CODE]],5),FeatureTree[],2,FALSE)</f>
        <v>Content discovery</v>
      </c>
    </row>
    <row r="290" spans="1:7">
      <c r="A290" s="1" t="s">
        <v>168</v>
      </c>
      <c r="B290" s="1" t="s">
        <v>23</v>
      </c>
      <c r="C290" s="31" t="s">
        <v>26</v>
      </c>
      <c r="D290" s="49">
        <f>VLOOKUP(ToolFeatures[[#This Row],[FEATURE CODE]],FeatureTree[],5,FALSE)</f>
        <v>5</v>
      </c>
      <c r="E290" s="49" t="str">
        <f>VLOOKUP(ToolFeatures[[#This Row],[FEATURE CODE]],FeatureTree[],6,FALSE)</f>
        <v>Data profiling, measurement and visualization</v>
      </c>
      <c r="F290" s="49" t="str">
        <f>VLOOKUP(LEFT(ToolFeatures[[#This Row],[FEATURE CODE]],2),FeatureTree[],2,FALSE)</f>
        <v>Data Profiling, Exploration/Pattern Detection</v>
      </c>
      <c r="G290" s="49" t="str">
        <f>VLOOKUP(LEFT(ToolFeatures[[#This Row],[FEATURE CODE]],5),FeatureTree[],2,FALSE)</f>
        <v>Content discovery</v>
      </c>
    </row>
    <row r="291" spans="1:7" ht="30">
      <c r="A291" s="1" t="s">
        <v>168</v>
      </c>
      <c r="B291" s="1" t="s">
        <v>27</v>
      </c>
      <c r="C291" s="31" t="s">
        <v>30</v>
      </c>
      <c r="D291" s="49">
        <f>VLOOKUP(ToolFeatures[[#This Row],[FEATURE CODE]],FeatureTree[],5,FALSE)</f>
        <v>5</v>
      </c>
      <c r="E291" s="49" t="str">
        <f>VLOOKUP(ToolFeatures[[#This Row],[FEATURE CODE]],FeatureTree[],6,FALSE)</f>
        <v>Data profiling, measurement and visualization</v>
      </c>
      <c r="F291" s="49" t="str">
        <f>VLOOKUP(LEFT(ToolFeatures[[#This Row],[FEATURE CODE]],2),FeatureTree[],2,FALSE)</f>
        <v>Data Profiling, Exploration/Pattern Detection</v>
      </c>
      <c r="G291" s="49" t="str">
        <f>VLOOKUP(LEFT(ToolFeatures[[#This Row],[FEATURE CODE]],5),FeatureTree[],2,FALSE)</f>
        <v>Structure discovery</v>
      </c>
    </row>
    <row r="292" spans="1:7">
      <c r="A292" s="1" t="s">
        <v>168</v>
      </c>
      <c r="B292" s="1" t="s">
        <v>28</v>
      </c>
      <c r="C292" s="31" t="s">
        <v>31</v>
      </c>
      <c r="D292" s="49">
        <f>VLOOKUP(ToolFeatures[[#This Row],[FEATURE CODE]],FeatureTree[],5,FALSE)</f>
        <v>5</v>
      </c>
      <c r="E292" s="49" t="str">
        <f>VLOOKUP(ToolFeatures[[#This Row],[FEATURE CODE]],FeatureTree[],6,FALSE)</f>
        <v>Data profiling, measurement and visualization</v>
      </c>
      <c r="F292" s="49" t="str">
        <f>VLOOKUP(LEFT(ToolFeatures[[#This Row],[FEATURE CODE]],2),FeatureTree[],2,FALSE)</f>
        <v>Data Profiling, Exploration/Pattern Detection</v>
      </c>
      <c r="G292" s="49" t="str">
        <f>VLOOKUP(LEFT(ToolFeatures[[#This Row],[FEATURE CODE]],5),FeatureTree[],2,FALSE)</f>
        <v>Structure discovery</v>
      </c>
    </row>
    <row r="293" spans="1:7">
      <c r="A293" s="1" t="s">
        <v>168</v>
      </c>
      <c r="B293" s="1" t="s">
        <v>29</v>
      </c>
      <c r="C293" s="31" t="s">
        <v>32</v>
      </c>
      <c r="D293" s="49">
        <f>VLOOKUP(ToolFeatures[[#This Row],[FEATURE CODE]],FeatureTree[],5,FALSE)</f>
        <v>5</v>
      </c>
      <c r="E293" s="49" t="str">
        <f>VLOOKUP(ToolFeatures[[#This Row],[FEATURE CODE]],FeatureTree[],6,FALSE)</f>
        <v>Data profiling, measurement and visualization</v>
      </c>
      <c r="F293" s="49" t="str">
        <f>VLOOKUP(LEFT(ToolFeatures[[#This Row],[FEATURE CODE]],2),FeatureTree[],2,FALSE)</f>
        <v>Data Profiling, Exploration/Pattern Detection</v>
      </c>
      <c r="G293" s="49" t="str">
        <f>VLOOKUP(LEFT(ToolFeatures[[#This Row],[FEATURE CODE]],5),FeatureTree[],2,FALSE)</f>
        <v>Structure discovery</v>
      </c>
    </row>
    <row r="294" spans="1:7">
      <c r="A294" s="1" t="s">
        <v>168</v>
      </c>
      <c r="B294" s="1" t="s">
        <v>102</v>
      </c>
      <c r="C294" s="31" t="s">
        <v>99</v>
      </c>
      <c r="D294" s="49">
        <f>VLOOKUP(ToolFeatures[[#This Row],[FEATURE CODE]],FeatureTree[],5,FALSE)</f>
        <v>5</v>
      </c>
      <c r="E294" s="49" t="str">
        <f>VLOOKUP(ToolFeatures[[#This Row],[FEATURE CODE]],FeatureTree[],6,FALSE)</f>
        <v>Connectivity</v>
      </c>
      <c r="F294" s="49" t="str">
        <f>VLOOKUP(LEFT(ToolFeatures[[#This Row],[FEATURE CODE]],2),FeatureTree[],2,FALSE)</f>
        <v>Data Ingestion and Integration</v>
      </c>
      <c r="G294" s="49" t="str">
        <f>VLOOKUP(LEFT(ToolFeatures[[#This Row],[FEATURE CODE]],5),FeatureTree[],2,FALSE)</f>
        <v>Data Consolidation</v>
      </c>
    </row>
    <row r="295" spans="1:7">
      <c r="A295" s="1" t="s">
        <v>168</v>
      </c>
      <c r="B295" s="1" t="s">
        <v>33</v>
      </c>
      <c r="C295" s="31" t="s">
        <v>223</v>
      </c>
      <c r="D295" s="49">
        <f>VLOOKUP(ToolFeatures[[#This Row],[FEATURE CODE]],FeatureTree[],5,FALSE)</f>
        <v>5</v>
      </c>
      <c r="E295" s="49" t="str">
        <f>VLOOKUP(ToolFeatures[[#This Row],[FEATURE CODE]],FeatureTree[],6,FALSE)</f>
        <v>Parsing</v>
      </c>
      <c r="F295" s="49" t="str">
        <f>VLOOKUP(LEFT(ToolFeatures[[#This Row],[FEATURE CODE]],2),FeatureTree[],2,FALSE)</f>
        <v>Data Ingestion and Integration</v>
      </c>
      <c r="G295" s="49" t="str">
        <f>VLOOKUP(LEFT(ToolFeatures[[#This Row],[FEATURE CODE]],5),FeatureTree[],2,FALSE)</f>
        <v>Data Consolidation</v>
      </c>
    </row>
    <row r="296" spans="1:7">
      <c r="A296" s="1" t="s">
        <v>168</v>
      </c>
      <c r="B296" s="1" t="s">
        <v>34</v>
      </c>
      <c r="C296" s="31" t="s">
        <v>36</v>
      </c>
      <c r="D296" s="49">
        <f>VLOOKUP(ToolFeatures[[#This Row],[FEATURE CODE]],FeatureTree[],5,FALSE)</f>
        <v>5</v>
      </c>
      <c r="E296" s="49" t="str">
        <f>VLOOKUP(ToolFeatures[[#This Row],[FEATURE CODE]],FeatureTree[],6,FALSE)</f>
        <v>Architecture and integration</v>
      </c>
      <c r="F296" s="49" t="str">
        <f>VLOOKUP(LEFT(ToolFeatures[[#This Row],[FEATURE CODE]],2),FeatureTree[],2,FALSE)</f>
        <v>Data Ingestion and Integration</v>
      </c>
      <c r="G296" s="49" t="str">
        <f>VLOOKUP(LEFT(ToolFeatures[[#This Row],[FEATURE CODE]],5),FeatureTree[],2,FALSE)</f>
        <v>Data Consolidation</v>
      </c>
    </row>
    <row r="297" spans="1:7">
      <c r="A297" s="1" t="s">
        <v>168</v>
      </c>
      <c r="B297" s="1" t="s">
        <v>56</v>
      </c>
      <c r="C297" s="31" t="s">
        <v>39</v>
      </c>
      <c r="D297" s="49">
        <f>VLOOKUP(ToolFeatures[[#This Row],[FEATURE CODE]],FeatureTree[],5,FALSE)</f>
        <v>5</v>
      </c>
      <c r="E297" s="49" t="str">
        <f>VLOOKUP(ToolFeatures[[#This Row],[FEATURE CODE]],FeatureTree[],6,FALSE)</f>
        <v>Issue resolution and workflow</v>
      </c>
      <c r="F297" s="49" t="str">
        <f>VLOOKUP(LEFT(ToolFeatures[[#This Row],[FEATURE CODE]],2),FeatureTree[],2,FALSE)</f>
        <v>Data Ingestion and Integration</v>
      </c>
      <c r="G297" s="49" t="str">
        <f>VLOOKUP(LEFT(ToolFeatures[[#This Row],[FEATURE CODE]],5),FeatureTree[],2,FALSE)</f>
        <v>Data Federation</v>
      </c>
    </row>
    <row r="298" spans="1:7">
      <c r="A298" s="1" t="s">
        <v>168</v>
      </c>
      <c r="B298" s="1" t="s">
        <v>58</v>
      </c>
      <c r="C298" s="31" t="s">
        <v>40</v>
      </c>
      <c r="D298" s="49">
        <f>VLOOKUP(ToolFeatures[[#This Row],[FEATURE CODE]],FeatureTree[],5,FALSE)</f>
        <v>5</v>
      </c>
      <c r="E298" s="49" t="str">
        <f>VLOOKUP(ToolFeatures[[#This Row],[FEATURE CODE]],FeatureTree[],6,FALSE)</f>
        <v>Standardization and cleansing</v>
      </c>
      <c r="F298" s="49" t="str">
        <f>VLOOKUP(LEFT(ToolFeatures[[#This Row],[FEATURE CODE]],2),FeatureTree[],2,FALSE)</f>
        <v>Data Preparation and Cleaning</v>
      </c>
      <c r="G298" s="49" t="str">
        <f>VLOOKUP(LEFT(ToolFeatures[[#This Row],[FEATURE CODE]],5),FeatureTree[],2,FALSE)</f>
        <v>Parsing and Standardization</v>
      </c>
    </row>
    <row r="299" spans="1:7">
      <c r="A299" s="1" t="s">
        <v>168</v>
      </c>
      <c r="B299" s="1" t="s">
        <v>59</v>
      </c>
      <c r="C299" s="31" t="s">
        <v>41</v>
      </c>
      <c r="D299" s="49">
        <f>VLOOKUP(ToolFeatures[[#This Row],[FEATURE CODE]],FeatureTree[],5,FALSE)</f>
        <v>5</v>
      </c>
      <c r="E299" s="49" t="str">
        <f>VLOOKUP(ToolFeatures[[#This Row],[FEATURE CODE]],FeatureTree[],6,FALSE)</f>
        <v>Standardization and cleansing</v>
      </c>
      <c r="F299" s="49" t="str">
        <f>VLOOKUP(LEFT(ToolFeatures[[#This Row],[FEATURE CODE]],2),FeatureTree[],2,FALSE)</f>
        <v>Data Preparation and Cleaning</v>
      </c>
      <c r="G299" s="49" t="str">
        <f>VLOOKUP(LEFT(ToolFeatures[[#This Row],[FEATURE CODE]],5),FeatureTree[],2,FALSE)</f>
        <v>Parsing and Standardization</v>
      </c>
    </row>
    <row r="300" spans="1:7">
      <c r="A300" s="1" t="s">
        <v>168</v>
      </c>
      <c r="B300" s="1" t="s">
        <v>67</v>
      </c>
      <c r="C300" s="31" t="s">
        <v>46</v>
      </c>
      <c r="D300" s="49">
        <f>VLOOKUP(ToolFeatures[[#This Row],[FEATURE CODE]],FeatureTree[],5,FALSE)</f>
        <v>5</v>
      </c>
      <c r="E300" s="49" t="str">
        <f>VLOOKUP(ToolFeatures[[#This Row],[FEATURE CODE]],FeatureTree[],6,FALSE)</f>
        <v>Matching, linking and merging</v>
      </c>
      <c r="F300" s="49" t="str">
        <f>VLOOKUP(LEFT(ToolFeatures[[#This Row],[FEATURE CODE]],2),FeatureTree[],2,FALSE)</f>
        <v>Data Preparation and Cleaning</v>
      </c>
      <c r="G300" s="49" t="str">
        <f>VLOOKUP(LEFT(ToolFeatures[[#This Row],[FEATURE CODE]],5),FeatureTree[],2,FALSE)</f>
        <v>Identity Resolution, Linkage, Merging &amp; Consolidation</v>
      </c>
    </row>
    <row r="301" spans="1:7">
      <c r="A301" s="1" t="s">
        <v>168</v>
      </c>
      <c r="B301" s="1" t="s">
        <v>68</v>
      </c>
      <c r="C301" s="31" t="s">
        <v>78</v>
      </c>
      <c r="D301" s="49">
        <f>VLOOKUP(ToolFeatures[[#This Row],[FEATURE CODE]],FeatureTree[],5,FALSE)</f>
        <v>5</v>
      </c>
      <c r="E301" s="49" t="str">
        <f>VLOOKUP(ToolFeatures[[#This Row],[FEATURE CODE]],FeatureTree[],6,FALSE)</f>
        <v>Data curation and enrichment</v>
      </c>
      <c r="F301" s="49" t="str">
        <f>VLOOKUP(LEFT(ToolFeatures[[#This Row],[FEATURE CODE]],2),FeatureTree[],2,FALSE)</f>
        <v>Data Preparation and Cleaning</v>
      </c>
      <c r="G301" s="49" t="str">
        <f>VLOOKUP(LEFT(ToolFeatures[[#This Row],[FEATURE CODE]],5),FeatureTree[],2,FALSE)</f>
        <v>Identity Resolution, Linkage, Merging &amp; Consolidation</v>
      </c>
    </row>
    <row r="302" spans="1:7">
      <c r="A302" s="1" t="s">
        <v>168</v>
      </c>
      <c r="B302" s="1" t="s">
        <v>71</v>
      </c>
      <c r="C302" s="31" t="s">
        <v>69</v>
      </c>
      <c r="D302" s="49">
        <f>VLOOKUP(ToolFeatures[[#This Row],[FEATURE CODE]],FeatureTree[],5,FALSE)</f>
        <v>5</v>
      </c>
      <c r="E302" s="49" t="str">
        <f>VLOOKUP(ToolFeatures[[#This Row],[FEATURE CODE]],FeatureTree[],6,FALSE)</f>
        <v>Matching, linking and merging</v>
      </c>
      <c r="F302" s="49" t="str">
        <f>VLOOKUP(LEFT(ToolFeatures[[#This Row],[FEATURE CODE]],2),FeatureTree[],2,FALSE)</f>
        <v>Data Preparation and Cleaning</v>
      </c>
      <c r="G302" s="49" t="str">
        <f>VLOOKUP(LEFT(ToolFeatures[[#This Row],[FEATURE CODE]],5),FeatureTree[],2,FALSE)</f>
        <v>Identity Resolution, Linkage, Merging &amp; Consolidation</v>
      </c>
    </row>
    <row r="303" spans="1:7">
      <c r="A303" s="1" t="s">
        <v>168</v>
      </c>
      <c r="B303" s="1" t="s">
        <v>72</v>
      </c>
      <c r="C303" s="31" t="s">
        <v>75</v>
      </c>
      <c r="D303" s="49">
        <f>VLOOKUP(ToolFeatures[[#This Row],[FEATURE CODE]],FeatureTree[],5,FALSE)</f>
        <v>5</v>
      </c>
      <c r="E303" s="49" t="str">
        <f>VLOOKUP(ToolFeatures[[#This Row],[FEATURE CODE]],FeatureTree[],6,FALSE)</f>
        <v>Matching, linking and merging</v>
      </c>
      <c r="F303" s="49" t="str">
        <f>VLOOKUP(LEFT(ToolFeatures[[#This Row],[FEATURE CODE]],2),FeatureTree[],2,FALSE)</f>
        <v>Data Preparation and Cleaning</v>
      </c>
      <c r="G303" s="49" t="str">
        <f>VLOOKUP(LEFT(ToolFeatures[[#This Row],[FEATURE CODE]],5),FeatureTree[],2,FALSE)</f>
        <v>Identity Resolution, Linkage, Merging &amp; Consolidation</v>
      </c>
    </row>
    <row r="304" spans="1:7">
      <c r="A304" s="1" t="s">
        <v>168</v>
      </c>
      <c r="B304" s="1" t="s">
        <v>73</v>
      </c>
      <c r="C304" s="31" t="s">
        <v>76</v>
      </c>
      <c r="D304" s="49">
        <f>VLOOKUP(ToolFeatures[[#This Row],[FEATURE CODE]],FeatureTree[],5,FALSE)</f>
        <v>5</v>
      </c>
      <c r="E304" s="49" t="str">
        <f>VLOOKUP(ToolFeatures[[#This Row],[FEATURE CODE]],FeatureTree[],6,FALSE)</f>
        <v>Matching, linking and merging</v>
      </c>
      <c r="F304" s="49" t="str">
        <f>VLOOKUP(LEFT(ToolFeatures[[#This Row],[FEATURE CODE]],2),FeatureTree[],2,FALSE)</f>
        <v>Data Preparation and Cleaning</v>
      </c>
      <c r="G304" s="49" t="str">
        <f>VLOOKUP(LEFT(ToolFeatures[[#This Row],[FEATURE CODE]],5),FeatureTree[],2,FALSE)</f>
        <v>Identity Resolution, Linkage, Merging &amp; Consolidation</v>
      </c>
    </row>
    <row r="305" spans="1:7">
      <c r="A305" s="1" t="s">
        <v>168</v>
      </c>
      <c r="B305" s="1" t="s">
        <v>74</v>
      </c>
      <c r="C305" s="31" t="s">
        <v>77</v>
      </c>
      <c r="D305" s="49">
        <f>VLOOKUP(ToolFeatures[[#This Row],[FEATURE CODE]],FeatureTree[],5,FALSE)</f>
        <v>5</v>
      </c>
      <c r="E305" s="49" t="str">
        <f>VLOOKUP(ToolFeatures[[#This Row],[FEATURE CODE]],FeatureTree[],6,FALSE)</f>
        <v>Matching, linking and merging</v>
      </c>
      <c r="F305" s="49" t="str">
        <f>VLOOKUP(LEFT(ToolFeatures[[#This Row],[FEATURE CODE]],2),FeatureTree[],2,FALSE)</f>
        <v>Data Preparation and Cleaning</v>
      </c>
      <c r="G305" s="49" t="str">
        <f>VLOOKUP(LEFT(ToolFeatures[[#This Row],[FEATURE CODE]],5),FeatureTree[],2,FALSE)</f>
        <v>Identity Resolution, Linkage, Merging &amp; Consolidation</v>
      </c>
    </row>
    <row r="306" spans="1:7">
      <c r="A306" s="1" t="s">
        <v>168</v>
      </c>
      <c r="B306" s="1" t="s">
        <v>231</v>
      </c>
      <c r="C306" s="31" t="s">
        <v>232</v>
      </c>
      <c r="D306" s="49">
        <f>VLOOKUP(ToolFeatures[[#This Row],[FEATURE CODE]],FeatureTree[],5,FALSE)</f>
        <v>5</v>
      </c>
      <c r="E306" s="49" t="str">
        <f>VLOOKUP(ToolFeatures[[#This Row],[FEATURE CODE]],FeatureTree[],6,FALSE)</f>
        <v>Usability</v>
      </c>
      <c r="F306" s="49" t="str">
        <f>VLOOKUP(LEFT(ToolFeatures[[#This Row],[FEATURE CODE]],2),FeatureTree[],2,FALSE)</f>
        <v>Data Use</v>
      </c>
      <c r="G306" s="49" t="str">
        <f>VLOOKUP(LEFT(ToolFeatures[[#This Row],[FEATURE CODE]],5),FeatureTree[],2,FALSE)</f>
        <v>Data Mining</v>
      </c>
    </row>
    <row r="307" spans="1:7">
      <c r="A307" s="1" t="s">
        <v>168</v>
      </c>
      <c r="B307" s="1" t="s">
        <v>233</v>
      </c>
      <c r="C307" s="31" t="s">
        <v>238</v>
      </c>
      <c r="D307" s="49">
        <f>VLOOKUP(ToolFeatures[[#This Row],[FEATURE CODE]],FeatureTree[],5,FALSE)</f>
        <v>5</v>
      </c>
      <c r="E307" s="49" t="str">
        <f>VLOOKUP(ToolFeatures[[#This Row],[FEATURE CODE]],FeatureTree[],6,FALSE)</f>
        <v>Usability</v>
      </c>
      <c r="F307" s="49" t="str">
        <f>VLOOKUP(LEFT(ToolFeatures[[#This Row],[FEATURE CODE]],2),FeatureTree[],2,FALSE)</f>
        <v>Data Use</v>
      </c>
      <c r="G307" s="49" t="str">
        <f>VLOOKUP(LEFT(ToolFeatures[[#This Row],[FEATURE CODE]],5),FeatureTree[],2,FALSE)</f>
        <v>Data Mining</v>
      </c>
    </row>
    <row r="308" spans="1:7">
      <c r="A308" s="1" t="s">
        <v>168</v>
      </c>
      <c r="B308" s="1" t="s">
        <v>234</v>
      </c>
      <c r="C308" s="31" t="s">
        <v>235</v>
      </c>
      <c r="D308" s="49">
        <f>VLOOKUP(ToolFeatures[[#This Row],[FEATURE CODE]],FeatureTree[],5,FALSE)</f>
        <v>5</v>
      </c>
      <c r="E308" s="49" t="str">
        <f>VLOOKUP(ToolFeatures[[#This Row],[FEATURE CODE]],FeatureTree[],6,FALSE)</f>
        <v>Usability</v>
      </c>
      <c r="F308" s="49" t="str">
        <f>VLOOKUP(LEFT(ToolFeatures[[#This Row],[FEATURE CODE]],2),FeatureTree[],2,FALSE)</f>
        <v>Data Use</v>
      </c>
      <c r="G308" s="49" t="str">
        <f>VLOOKUP(LEFT(ToolFeatures[[#This Row],[FEATURE CODE]],5),FeatureTree[],2,FALSE)</f>
        <v>Data Mining</v>
      </c>
    </row>
    <row r="309" spans="1:7">
      <c r="A309" s="1" t="s">
        <v>168</v>
      </c>
      <c r="B309" s="1" t="s">
        <v>236</v>
      </c>
      <c r="C309" s="31" t="s">
        <v>90</v>
      </c>
      <c r="D309" s="49">
        <f>VLOOKUP(ToolFeatures[[#This Row],[FEATURE CODE]],FeatureTree[],5,FALSE)</f>
        <v>5</v>
      </c>
      <c r="E309" s="49" t="str">
        <f>VLOOKUP(ToolFeatures[[#This Row],[FEATURE CODE]],FeatureTree[],6,FALSE)</f>
        <v>Usability</v>
      </c>
      <c r="F309" s="49" t="str">
        <f>VLOOKUP(LEFT(ToolFeatures[[#This Row],[FEATURE CODE]],2),FeatureTree[],2,FALSE)</f>
        <v>Data Use</v>
      </c>
      <c r="G309" s="49" t="str">
        <f>VLOOKUP(LEFT(ToolFeatures[[#This Row],[FEATURE CODE]],5),FeatureTree[],2,FALSE)</f>
        <v>Data Mining</v>
      </c>
    </row>
    <row r="310" spans="1:7">
      <c r="A310" s="1" t="s">
        <v>168</v>
      </c>
      <c r="B310" s="1" t="s">
        <v>239</v>
      </c>
      <c r="C310" s="31" t="s">
        <v>237</v>
      </c>
      <c r="D310" s="49">
        <f>VLOOKUP(ToolFeatures[[#This Row],[FEATURE CODE]],FeatureTree[],5,FALSE)</f>
        <v>5</v>
      </c>
      <c r="E310" s="49" t="str">
        <f>VLOOKUP(ToolFeatures[[#This Row],[FEATURE CODE]],FeatureTree[],6,FALSE)</f>
        <v>Architecture and integration</v>
      </c>
      <c r="F310" s="49" t="str">
        <f>VLOOKUP(LEFT(ToolFeatures[[#This Row],[FEATURE CODE]],2),FeatureTree[],2,FALSE)</f>
        <v>Data Use</v>
      </c>
      <c r="G310" s="49" t="str">
        <f>VLOOKUP(LEFT(ToolFeatures[[#This Row],[FEATURE CODE]],5),FeatureTree[],2,FALSE)</f>
        <v>Data Mining</v>
      </c>
    </row>
    <row r="311" spans="1:7">
      <c r="A311" s="1" t="s">
        <v>168</v>
      </c>
      <c r="B311" s="1" t="s">
        <v>127</v>
      </c>
      <c r="C311" s="31" t="s">
        <v>129</v>
      </c>
      <c r="D311" s="49">
        <f>VLOOKUP(ToolFeatures[[#This Row],[FEATURE CODE]],FeatureTree[],5,FALSE)</f>
        <v>5</v>
      </c>
      <c r="E311" s="49" t="str">
        <f>VLOOKUP(ToolFeatures[[#This Row],[FEATURE CODE]],FeatureTree[],6,FALSE)</f>
        <v>Monitoring</v>
      </c>
      <c r="F311" s="49" t="str">
        <f>VLOOKUP(LEFT(ToolFeatures[[#This Row],[FEATURE CODE]],2),FeatureTree[],2,FALSE)</f>
        <v>Data Monitoring</v>
      </c>
      <c r="G311" s="49" t="str">
        <f>VLOOKUP(LEFT(ToolFeatures[[#This Row],[FEATURE CODE]],5),FeatureTree[],2,FALSE)</f>
        <v>Monitoring &amp; Alerting</v>
      </c>
    </row>
    <row r="312" spans="1:7">
      <c r="A312" s="1" t="s">
        <v>168</v>
      </c>
      <c r="B312" s="1" t="s">
        <v>131</v>
      </c>
      <c r="C312" s="31" t="s">
        <v>128</v>
      </c>
      <c r="D312" s="49">
        <f>VLOOKUP(ToolFeatures[[#This Row],[FEATURE CODE]],FeatureTree[],5,FALSE)</f>
        <v>5</v>
      </c>
      <c r="E312" s="49" t="str">
        <f>VLOOKUP(ToolFeatures[[#This Row],[FEATURE CODE]],FeatureTree[],6,FALSE)</f>
        <v>Monitoring</v>
      </c>
      <c r="F312" s="49" t="str">
        <f>VLOOKUP(LEFT(ToolFeatures[[#This Row],[FEATURE CODE]],2),FeatureTree[],2,FALSE)</f>
        <v>Data Monitoring</v>
      </c>
      <c r="G312" s="49" t="str">
        <f>VLOOKUP(LEFT(ToolFeatures[[#This Row],[FEATURE CODE]],5),FeatureTree[],2,FALSE)</f>
        <v>Monitoring &amp; Alerting</v>
      </c>
    </row>
    <row r="313" spans="1:7">
      <c r="A313" s="1" t="s">
        <v>168</v>
      </c>
      <c r="B313" s="1" t="s">
        <v>132</v>
      </c>
      <c r="C313" s="31" t="s">
        <v>130</v>
      </c>
      <c r="D313" s="49">
        <f>VLOOKUP(ToolFeatures[[#This Row],[FEATURE CODE]],FeatureTree[],5,FALSE)</f>
        <v>5</v>
      </c>
      <c r="E313" s="49" t="str">
        <f>VLOOKUP(ToolFeatures[[#This Row],[FEATURE CODE]],FeatureTree[],6,FALSE)</f>
        <v>Monitoring</v>
      </c>
      <c r="F313" s="49" t="str">
        <f>VLOOKUP(LEFT(ToolFeatures[[#This Row],[FEATURE CODE]],2),FeatureTree[],2,FALSE)</f>
        <v>Data Monitoring</v>
      </c>
      <c r="G313" s="49" t="str">
        <f>VLOOKUP(LEFT(ToolFeatures[[#This Row],[FEATURE CODE]],5),FeatureTree[],2,FALSE)</f>
        <v>Monitoring &amp; Alerting</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472A0-C067-4D88-9071-8ABC47B99528}">
  <sheetPr codeName="Sheet15"/>
  <dimension ref="B1:K498"/>
  <sheetViews>
    <sheetView topLeftCell="D1" workbookViewId="0">
      <selection activeCell="J5" sqref="J5"/>
    </sheetView>
  </sheetViews>
  <sheetFormatPr defaultColWidth="8.85546875" defaultRowHeight="15"/>
  <cols>
    <col min="1" max="1" width="2.28515625" style="17" customWidth="1"/>
    <col min="2" max="2" width="3.42578125" style="20" customWidth="1"/>
    <col min="3" max="3" width="41.7109375" style="20" customWidth="1"/>
    <col min="4" max="4" width="31.42578125" style="20" customWidth="1"/>
    <col min="5" max="5" width="39.140625" style="21" customWidth="1"/>
    <col min="6" max="6" width="23.7109375" style="21" customWidth="1"/>
    <col min="7" max="7" width="10.140625" style="20" customWidth="1"/>
    <col min="8" max="8" width="21.140625" style="20" customWidth="1"/>
    <col min="9" max="9" width="18" style="20" customWidth="1"/>
    <col min="10" max="10" width="42.5703125" style="20" customWidth="1"/>
    <col min="11" max="11" width="72.140625" style="21" customWidth="1"/>
    <col min="12" max="12" width="13.28515625" style="17" customWidth="1"/>
    <col min="13" max="16384" width="8.85546875" style="17"/>
  </cols>
  <sheetData>
    <row r="1" spans="2:11" s="56" customFormat="1" ht="30.75" thickBot="1">
      <c r="B1" s="57" t="s">
        <v>106</v>
      </c>
      <c r="C1" s="57" t="s">
        <v>158</v>
      </c>
      <c r="D1" s="58" t="s">
        <v>152</v>
      </c>
      <c r="E1" s="58" t="s">
        <v>153</v>
      </c>
      <c r="F1" s="58" t="s">
        <v>154</v>
      </c>
      <c r="G1" s="58" t="s">
        <v>155</v>
      </c>
      <c r="H1" s="58" t="s">
        <v>156</v>
      </c>
      <c r="I1" s="58" t="s">
        <v>157</v>
      </c>
      <c r="J1" s="58" t="s">
        <v>159</v>
      </c>
    </row>
    <row r="2" spans="2:11" ht="157.15" customHeight="1" thickBot="1">
      <c r="B2" s="50">
        <v>1</v>
      </c>
      <c r="C2" s="50" t="s">
        <v>167</v>
      </c>
      <c r="D2" s="16" t="s">
        <v>257</v>
      </c>
      <c r="E2" s="16" t="s">
        <v>145</v>
      </c>
      <c r="F2" s="11" t="s">
        <v>146</v>
      </c>
      <c r="G2" s="15" t="s">
        <v>218</v>
      </c>
      <c r="H2" s="11" t="s">
        <v>136</v>
      </c>
      <c r="I2" s="11" t="s">
        <v>105</v>
      </c>
      <c r="J2" s="29" t="s">
        <v>488</v>
      </c>
      <c r="K2" s="17"/>
    </row>
    <row r="3" spans="2:11" ht="48" customHeight="1">
      <c r="B3" s="50">
        <v>2</v>
      </c>
      <c r="C3" s="50" t="s">
        <v>168</v>
      </c>
      <c r="D3" s="16" t="s">
        <v>216</v>
      </c>
      <c r="E3" s="16" t="s">
        <v>149</v>
      </c>
      <c r="F3" s="10" t="s">
        <v>199</v>
      </c>
      <c r="G3" s="10" t="s">
        <v>105</v>
      </c>
      <c r="H3" s="11" t="s">
        <v>136</v>
      </c>
      <c r="I3" s="11" t="s">
        <v>217</v>
      </c>
      <c r="J3" s="11" t="s">
        <v>485</v>
      </c>
      <c r="K3" s="17"/>
    </row>
    <row r="4" spans="2:11" ht="47.45" customHeight="1">
      <c r="B4" s="50">
        <v>3</v>
      </c>
      <c r="C4" s="62" t="s">
        <v>169</v>
      </c>
      <c r="D4" s="23" t="s">
        <v>197</v>
      </c>
      <c r="E4" s="16" t="s">
        <v>149</v>
      </c>
      <c r="F4" s="10" t="s">
        <v>196</v>
      </c>
      <c r="G4" s="22" t="s">
        <v>219</v>
      </c>
      <c r="H4" s="11" t="s">
        <v>136</v>
      </c>
      <c r="I4" s="11" t="s">
        <v>198</v>
      </c>
      <c r="J4" s="11" t="s">
        <v>486</v>
      </c>
      <c r="K4" s="17"/>
    </row>
    <row r="5" spans="2:11" ht="87" customHeight="1">
      <c r="B5" s="50">
        <v>4</v>
      </c>
      <c r="C5" s="50" t="s">
        <v>148</v>
      </c>
      <c r="D5" s="16" t="s">
        <v>379</v>
      </c>
      <c r="E5" s="16" t="s">
        <v>149</v>
      </c>
      <c r="F5" s="10" t="s">
        <v>254</v>
      </c>
      <c r="G5" s="10" t="s">
        <v>255</v>
      </c>
      <c r="H5" s="11" t="s">
        <v>136</v>
      </c>
      <c r="I5" s="10" t="s">
        <v>105</v>
      </c>
      <c r="J5" s="11" t="s">
        <v>489</v>
      </c>
      <c r="K5" s="17"/>
    </row>
    <row r="6" spans="2:11" ht="96" customHeight="1">
      <c r="B6" s="50">
        <v>5</v>
      </c>
      <c r="C6" s="50" t="s">
        <v>150</v>
      </c>
      <c r="D6" s="16" t="s">
        <v>220</v>
      </c>
      <c r="E6" s="16" t="s">
        <v>256</v>
      </c>
      <c r="F6" s="10" t="s">
        <v>195</v>
      </c>
      <c r="G6" s="22" t="s">
        <v>221</v>
      </c>
      <c r="H6" s="11" t="s">
        <v>136</v>
      </c>
      <c r="I6" s="10" t="s">
        <v>151</v>
      </c>
      <c r="J6" s="11" t="s">
        <v>490</v>
      </c>
      <c r="K6" s="17"/>
    </row>
    <row r="7" spans="2:11" ht="57" customHeight="1">
      <c r="B7" s="50">
        <v>6</v>
      </c>
      <c r="C7" s="50" t="s">
        <v>263</v>
      </c>
      <c r="D7" s="16" t="s">
        <v>258</v>
      </c>
      <c r="E7" s="11" t="s">
        <v>134</v>
      </c>
      <c r="F7" s="10" t="s">
        <v>259</v>
      </c>
      <c r="G7" s="10" t="s">
        <v>260</v>
      </c>
      <c r="H7" s="11" t="s">
        <v>261</v>
      </c>
      <c r="I7" s="10" t="s">
        <v>262</v>
      </c>
      <c r="J7" s="11" t="s">
        <v>491</v>
      </c>
      <c r="K7" s="17"/>
    </row>
    <row r="8" spans="2:11" ht="57" customHeight="1">
      <c r="B8" s="50">
        <v>7</v>
      </c>
      <c r="C8" s="50" t="s">
        <v>87</v>
      </c>
      <c r="D8" s="16" t="s">
        <v>133</v>
      </c>
      <c r="E8" s="11" t="s">
        <v>134</v>
      </c>
      <c r="F8" s="1" t="s">
        <v>135</v>
      </c>
      <c r="G8" s="22" t="s">
        <v>222</v>
      </c>
      <c r="H8" s="11" t="s">
        <v>136</v>
      </c>
      <c r="I8" s="11" t="s">
        <v>369</v>
      </c>
      <c r="J8" s="11" t="s">
        <v>492</v>
      </c>
      <c r="K8" s="17"/>
    </row>
    <row r="9" spans="2:11" ht="57" customHeight="1">
      <c r="B9" s="50">
        <v>8</v>
      </c>
      <c r="C9" s="50" t="s">
        <v>191</v>
      </c>
      <c r="D9" s="16" t="s">
        <v>376</v>
      </c>
      <c r="E9" s="16" t="s">
        <v>149</v>
      </c>
      <c r="F9" s="10" t="s">
        <v>356</v>
      </c>
      <c r="G9" s="22" t="s">
        <v>355</v>
      </c>
      <c r="H9" s="11" t="s">
        <v>266</v>
      </c>
      <c r="I9" s="10" t="s">
        <v>267</v>
      </c>
      <c r="J9" s="11" t="s">
        <v>493</v>
      </c>
      <c r="K9" s="17"/>
    </row>
    <row r="10" spans="2:11" ht="57" customHeight="1">
      <c r="B10" s="50">
        <v>9</v>
      </c>
      <c r="C10" s="50" t="s">
        <v>91</v>
      </c>
      <c r="D10" s="16" t="s">
        <v>224</v>
      </c>
      <c r="E10" s="11" t="s">
        <v>134</v>
      </c>
      <c r="F10" s="10" t="s">
        <v>105</v>
      </c>
      <c r="G10" s="22" t="s">
        <v>105</v>
      </c>
      <c r="H10" s="11" t="s">
        <v>193</v>
      </c>
      <c r="I10" s="11" t="s">
        <v>268</v>
      </c>
      <c r="J10" s="11" t="s">
        <v>494</v>
      </c>
      <c r="K10" s="17"/>
    </row>
    <row r="11" spans="2:11" ht="57" customHeight="1">
      <c r="B11" s="50">
        <v>10</v>
      </c>
      <c r="C11" s="50" t="s">
        <v>225</v>
      </c>
      <c r="D11" s="16" t="s">
        <v>269</v>
      </c>
      <c r="E11" s="11" t="s">
        <v>270</v>
      </c>
      <c r="F11" s="10" t="s">
        <v>271</v>
      </c>
      <c r="G11" s="22" t="s">
        <v>272</v>
      </c>
      <c r="H11" s="11" t="s">
        <v>273</v>
      </c>
      <c r="I11" s="11" t="s">
        <v>274</v>
      </c>
      <c r="J11" s="11" t="s">
        <v>495</v>
      </c>
      <c r="K11" s="17"/>
    </row>
    <row r="12" spans="2:11" ht="57" customHeight="1">
      <c r="B12" s="50">
        <v>11</v>
      </c>
      <c r="C12" s="50" t="s">
        <v>279</v>
      </c>
      <c r="D12" s="16" t="s">
        <v>380</v>
      </c>
      <c r="E12" s="11" t="s">
        <v>134</v>
      </c>
      <c r="F12" s="10" t="s">
        <v>275</v>
      </c>
      <c r="G12" s="22" t="s">
        <v>276</v>
      </c>
      <c r="H12" s="11" t="s">
        <v>277</v>
      </c>
      <c r="I12" s="11" t="s">
        <v>278</v>
      </c>
      <c r="J12" s="16" t="s">
        <v>496</v>
      </c>
      <c r="K12" s="17"/>
    </row>
    <row r="13" spans="2:11" ht="57" customHeight="1">
      <c r="B13" s="50">
        <v>12</v>
      </c>
      <c r="C13" s="50" t="s">
        <v>226</v>
      </c>
      <c r="D13" s="16" t="s">
        <v>280</v>
      </c>
      <c r="E13" s="11" t="s">
        <v>281</v>
      </c>
      <c r="F13" s="10" t="s">
        <v>271</v>
      </c>
      <c r="G13" s="22" t="s">
        <v>282</v>
      </c>
      <c r="H13" s="11" t="s">
        <v>283</v>
      </c>
      <c r="I13" s="11" t="s">
        <v>284</v>
      </c>
      <c r="J13" s="11" t="s">
        <v>497</v>
      </c>
      <c r="K13" s="17"/>
    </row>
    <row r="14" spans="2:11" ht="57" customHeight="1">
      <c r="B14" s="50">
        <v>13</v>
      </c>
      <c r="C14" s="50" t="s">
        <v>227</v>
      </c>
      <c r="D14" s="16" t="s">
        <v>291</v>
      </c>
      <c r="E14" s="11" t="s">
        <v>289</v>
      </c>
      <c r="F14" s="10" t="s">
        <v>292</v>
      </c>
      <c r="G14" s="22" t="s">
        <v>293</v>
      </c>
      <c r="H14" s="11" t="s">
        <v>288</v>
      </c>
      <c r="I14" s="11" t="s">
        <v>290</v>
      </c>
      <c r="J14" s="11" t="s">
        <v>498</v>
      </c>
      <c r="K14" s="17"/>
    </row>
    <row r="15" spans="2:11" ht="57" customHeight="1">
      <c r="B15" s="50">
        <v>14</v>
      </c>
      <c r="C15" s="50" t="s">
        <v>183</v>
      </c>
      <c r="D15" s="16" t="s">
        <v>250</v>
      </c>
      <c r="E15" s="11" t="s">
        <v>134</v>
      </c>
      <c r="F15" s="10" t="s">
        <v>251</v>
      </c>
      <c r="G15" s="22" t="s">
        <v>252</v>
      </c>
      <c r="H15" s="11" t="s">
        <v>249</v>
      </c>
      <c r="I15" s="10" t="s">
        <v>253</v>
      </c>
      <c r="J15" s="11" t="s">
        <v>499</v>
      </c>
      <c r="K15" s="17"/>
    </row>
    <row r="16" spans="2:11" ht="57" customHeight="1">
      <c r="B16" s="50">
        <v>15</v>
      </c>
      <c r="C16" s="50" t="s">
        <v>184</v>
      </c>
      <c r="D16" s="16" t="s">
        <v>377</v>
      </c>
      <c r="E16" s="11" t="s">
        <v>246</v>
      </c>
      <c r="F16" s="10" t="s">
        <v>247</v>
      </c>
      <c r="G16" s="22" t="s">
        <v>248</v>
      </c>
      <c r="H16" s="11" t="s">
        <v>249</v>
      </c>
      <c r="I16" s="11" t="s">
        <v>378</v>
      </c>
      <c r="J16" s="11" t="s">
        <v>501</v>
      </c>
      <c r="K16" s="17"/>
    </row>
    <row r="17" spans="2:11" ht="57" customHeight="1">
      <c r="B17" s="50">
        <v>18</v>
      </c>
      <c r="C17" s="50" t="s">
        <v>185</v>
      </c>
      <c r="D17" s="16" t="s">
        <v>303</v>
      </c>
      <c r="E17" s="11" t="s">
        <v>304</v>
      </c>
      <c r="F17" s="10" t="s">
        <v>105</v>
      </c>
      <c r="G17" s="22" t="s">
        <v>105</v>
      </c>
      <c r="H17" s="11" t="s">
        <v>294</v>
      </c>
      <c r="I17" s="11" t="s">
        <v>302</v>
      </c>
      <c r="J17" s="11" t="s">
        <v>502</v>
      </c>
      <c r="K17" s="17"/>
    </row>
    <row r="18" spans="2:11" ht="57" customHeight="1">
      <c r="B18" s="50">
        <v>19</v>
      </c>
      <c r="C18" s="50" t="s">
        <v>186</v>
      </c>
      <c r="D18" s="16" t="s">
        <v>305</v>
      </c>
      <c r="E18" s="11" t="s">
        <v>304</v>
      </c>
      <c r="F18" s="10" t="s">
        <v>306</v>
      </c>
      <c r="G18" s="22" t="s">
        <v>307</v>
      </c>
      <c r="H18" s="11" t="s">
        <v>294</v>
      </c>
      <c r="I18" s="11" t="s">
        <v>308</v>
      </c>
      <c r="J18" s="11" t="s">
        <v>503</v>
      </c>
      <c r="K18" s="17"/>
    </row>
    <row r="19" spans="2:11" ht="57" customHeight="1">
      <c r="B19" s="50">
        <v>20</v>
      </c>
      <c r="C19" s="50" t="s">
        <v>187</v>
      </c>
      <c r="D19" s="16" t="s">
        <v>309</v>
      </c>
      <c r="E19" s="11" t="s">
        <v>134</v>
      </c>
      <c r="F19" s="10" t="s">
        <v>310</v>
      </c>
      <c r="G19" s="22" t="s">
        <v>311</v>
      </c>
      <c r="H19" s="11" t="s">
        <v>300</v>
      </c>
      <c r="I19" s="11" t="s">
        <v>312</v>
      </c>
      <c r="J19" s="11" t="s">
        <v>504</v>
      </c>
      <c r="K19" s="17"/>
    </row>
    <row r="20" spans="2:11" ht="57" customHeight="1">
      <c r="B20" s="50">
        <v>21</v>
      </c>
      <c r="C20" s="50" t="s">
        <v>188</v>
      </c>
      <c r="D20" s="16" t="s">
        <v>313</v>
      </c>
      <c r="E20" s="11" t="s">
        <v>304</v>
      </c>
      <c r="F20" s="10" t="s">
        <v>314</v>
      </c>
      <c r="G20" s="22" t="s">
        <v>105</v>
      </c>
      <c r="H20" s="11" t="s">
        <v>136</v>
      </c>
      <c r="I20" s="10" t="s">
        <v>315</v>
      </c>
      <c r="J20" s="11" t="s">
        <v>505</v>
      </c>
      <c r="K20" s="17"/>
    </row>
    <row r="21" spans="2:11" ht="57" customHeight="1">
      <c r="B21" s="50">
        <v>22</v>
      </c>
      <c r="C21" s="50" t="s">
        <v>189</v>
      </c>
      <c r="D21" s="16" t="s">
        <v>316</v>
      </c>
      <c r="E21" s="11" t="s">
        <v>304</v>
      </c>
      <c r="F21" s="10" t="s">
        <v>317</v>
      </c>
      <c r="G21" s="22" t="s">
        <v>319</v>
      </c>
      <c r="H21" s="11" t="s">
        <v>300</v>
      </c>
      <c r="I21" s="10" t="s">
        <v>318</v>
      </c>
      <c r="J21" s="11" t="s">
        <v>506</v>
      </c>
      <c r="K21" s="17"/>
    </row>
    <row r="22" spans="2:11" ht="57" customHeight="1">
      <c r="B22" s="50">
        <v>23</v>
      </c>
      <c r="C22" s="50" t="s">
        <v>190</v>
      </c>
      <c r="D22" s="16" t="s">
        <v>320</v>
      </c>
      <c r="E22" s="11" t="s">
        <v>304</v>
      </c>
      <c r="F22" s="10" t="s">
        <v>321</v>
      </c>
      <c r="G22" s="22" t="s">
        <v>322</v>
      </c>
      <c r="H22" s="10" t="s">
        <v>294</v>
      </c>
      <c r="I22" s="11" t="s">
        <v>323</v>
      </c>
      <c r="J22" s="11" t="s">
        <v>507</v>
      </c>
      <c r="K22" s="17"/>
    </row>
    <row r="23" spans="2:11" ht="57" customHeight="1">
      <c r="B23" s="50">
        <v>24</v>
      </c>
      <c r="C23" s="50" t="s">
        <v>265</v>
      </c>
      <c r="D23" s="16" t="s">
        <v>349</v>
      </c>
      <c r="E23" s="16" t="s">
        <v>350</v>
      </c>
      <c r="F23" s="10" t="s">
        <v>351</v>
      </c>
      <c r="G23" s="22" t="s">
        <v>352</v>
      </c>
      <c r="H23" s="10" t="s">
        <v>353</v>
      </c>
      <c r="I23" s="11" t="s">
        <v>354</v>
      </c>
      <c r="J23" s="11" t="s">
        <v>348</v>
      </c>
      <c r="K23" s="17"/>
    </row>
    <row r="24" spans="2:11" ht="57" customHeight="1">
      <c r="B24" s="50">
        <v>25</v>
      </c>
      <c r="C24" s="50" t="s">
        <v>192</v>
      </c>
      <c r="D24" s="16" t="s">
        <v>264</v>
      </c>
      <c r="E24" s="16" t="s">
        <v>194</v>
      </c>
      <c r="F24" s="10" t="s">
        <v>259</v>
      </c>
      <c r="G24" s="22" t="s">
        <v>328</v>
      </c>
      <c r="H24" s="10" t="s">
        <v>136</v>
      </c>
      <c r="I24" s="10" t="s">
        <v>329</v>
      </c>
      <c r="J24" s="11" t="s">
        <v>508</v>
      </c>
      <c r="K24" s="17"/>
    </row>
    <row r="25" spans="2:11" ht="57" customHeight="1">
      <c r="B25" s="51">
        <v>26</v>
      </c>
      <c r="C25" s="51" t="s">
        <v>245</v>
      </c>
      <c r="D25" s="52" t="s">
        <v>375</v>
      </c>
      <c r="E25" s="53" t="s">
        <v>324</v>
      </c>
      <c r="F25" s="54" t="s">
        <v>325</v>
      </c>
      <c r="G25" s="55" t="s">
        <v>326</v>
      </c>
      <c r="H25" s="54" t="s">
        <v>136</v>
      </c>
      <c r="I25" s="54" t="s">
        <v>327</v>
      </c>
      <c r="J25" s="53" t="s">
        <v>487</v>
      </c>
      <c r="K25" s="17"/>
    </row>
    <row r="26" spans="2:11" ht="57" customHeight="1">
      <c r="B26" s="50">
        <v>27</v>
      </c>
      <c r="C26" s="50" t="s">
        <v>295</v>
      </c>
      <c r="D26" s="16" t="s">
        <v>301</v>
      </c>
      <c r="E26" s="16" t="s">
        <v>296</v>
      </c>
      <c r="F26" s="10" t="s">
        <v>297</v>
      </c>
      <c r="G26" s="22" t="s">
        <v>298</v>
      </c>
      <c r="H26" s="10" t="s">
        <v>300</v>
      </c>
      <c r="I26" s="10" t="s">
        <v>299</v>
      </c>
      <c r="J26" s="11" t="s">
        <v>500</v>
      </c>
      <c r="K26" s="17"/>
    </row>
    <row r="27" spans="2:11" ht="409.5">
      <c r="B27" s="50">
        <v>28</v>
      </c>
      <c r="C27" s="50" t="s">
        <v>285</v>
      </c>
      <c r="D27" s="16" t="s">
        <v>366</v>
      </c>
      <c r="E27" s="16" t="s">
        <v>286</v>
      </c>
      <c r="F27" s="10" t="s">
        <v>287</v>
      </c>
      <c r="G27" s="22" t="s">
        <v>363</v>
      </c>
      <c r="H27" s="10" t="s">
        <v>364</v>
      </c>
      <c r="I27" s="11" t="s">
        <v>367</v>
      </c>
      <c r="J27" s="11" t="s">
        <v>365</v>
      </c>
      <c r="K27" s="17"/>
    </row>
    <row r="28" spans="2:11" ht="345">
      <c r="B28" s="50">
        <v>28</v>
      </c>
      <c r="C28" s="50" t="s">
        <v>357</v>
      </c>
      <c r="D28" s="16" t="s">
        <v>358</v>
      </c>
      <c r="E28" s="16" t="s">
        <v>359</v>
      </c>
      <c r="F28" s="10" t="s">
        <v>360</v>
      </c>
      <c r="G28" s="22" t="s">
        <v>361</v>
      </c>
      <c r="H28" s="10" t="s">
        <v>283</v>
      </c>
      <c r="I28" s="11" t="s">
        <v>362</v>
      </c>
      <c r="J28" s="11" t="s">
        <v>509</v>
      </c>
    </row>
    <row r="29" spans="2:11" ht="409.5">
      <c r="B29" s="50">
        <v>29</v>
      </c>
      <c r="C29" s="50" t="s">
        <v>370</v>
      </c>
      <c r="D29" s="16" t="s">
        <v>465</v>
      </c>
      <c r="E29" s="16" t="s">
        <v>134</v>
      </c>
      <c r="F29" s="10" t="s">
        <v>371</v>
      </c>
      <c r="G29" s="22" t="s">
        <v>372</v>
      </c>
      <c r="H29" s="10" t="s">
        <v>373</v>
      </c>
      <c r="I29" s="10" t="s">
        <v>105</v>
      </c>
      <c r="J29" s="11" t="s">
        <v>510</v>
      </c>
    </row>
    <row r="30" spans="2:11">
      <c r="B30" s="25"/>
      <c r="C30" s="25"/>
      <c r="D30" s="25"/>
      <c r="E30" s="64"/>
      <c r="F30" s="64"/>
      <c r="G30" s="25"/>
      <c r="H30" s="25"/>
      <c r="I30" s="25"/>
      <c r="J30" s="25"/>
    </row>
    <row r="31" spans="2:11">
      <c r="B31" s="25"/>
      <c r="C31" s="25"/>
      <c r="D31" s="25"/>
      <c r="E31" s="64"/>
      <c r="F31" s="64"/>
      <c r="G31" s="25"/>
      <c r="H31" s="25"/>
      <c r="I31" s="25"/>
      <c r="J31" s="25"/>
    </row>
    <row r="32" spans="2:11">
      <c r="B32" s="25"/>
      <c r="C32" s="25"/>
      <c r="D32" s="25"/>
      <c r="E32" s="64"/>
      <c r="F32" s="64"/>
      <c r="G32" s="25"/>
      <c r="H32" s="25"/>
      <c r="I32" s="25"/>
      <c r="J32" s="25"/>
    </row>
    <row r="33" spans="2:10">
      <c r="B33" s="25"/>
      <c r="C33" s="25"/>
      <c r="D33" s="25"/>
      <c r="E33" s="64"/>
      <c r="F33" s="64"/>
      <c r="G33" s="25"/>
      <c r="H33" s="25"/>
      <c r="I33" s="25"/>
      <c r="J33" s="25"/>
    </row>
    <row r="34" spans="2:10">
      <c r="B34" s="25"/>
      <c r="C34" s="25"/>
      <c r="D34" s="25"/>
      <c r="E34" s="64"/>
      <c r="F34" s="64"/>
      <c r="G34" s="25"/>
      <c r="H34" s="25"/>
      <c r="I34" s="25"/>
      <c r="J34" s="25"/>
    </row>
    <row r="35" spans="2:10">
      <c r="B35" s="25"/>
      <c r="C35" s="25"/>
      <c r="D35" s="25"/>
      <c r="E35" s="64"/>
      <c r="F35" s="64"/>
      <c r="G35" s="25"/>
      <c r="H35" s="25"/>
      <c r="I35" s="25"/>
      <c r="J35" s="25"/>
    </row>
    <row r="36" spans="2:10">
      <c r="B36" s="25"/>
      <c r="C36" s="25"/>
      <c r="D36" s="25"/>
      <c r="E36" s="64"/>
      <c r="F36" s="64"/>
      <c r="G36" s="25"/>
      <c r="H36" s="25"/>
      <c r="I36" s="25"/>
      <c r="J36" s="25"/>
    </row>
    <row r="37" spans="2:10">
      <c r="B37" s="25"/>
      <c r="C37" s="25"/>
      <c r="D37" s="25"/>
      <c r="E37" s="64"/>
      <c r="F37" s="64"/>
      <c r="G37" s="25"/>
      <c r="H37" s="25"/>
      <c r="I37" s="25"/>
      <c r="J37" s="25"/>
    </row>
    <row r="38" spans="2:10">
      <c r="B38" s="25"/>
      <c r="C38" s="25"/>
      <c r="D38" s="25"/>
      <c r="E38" s="64"/>
      <c r="F38" s="64"/>
      <c r="G38" s="25"/>
      <c r="H38" s="25"/>
      <c r="I38" s="25"/>
      <c r="J38" s="25"/>
    </row>
    <row r="39" spans="2:10">
      <c r="B39" s="25"/>
      <c r="C39" s="25"/>
      <c r="D39" s="25"/>
      <c r="E39" s="64"/>
      <c r="F39" s="64"/>
      <c r="G39" s="25"/>
      <c r="H39" s="25"/>
      <c r="I39" s="25"/>
      <c r="J39" s="25"/>
    </row>
    <row r="40" spans="2:10">
      <c r="B40" s="25"/>
      <c r="C40" s="25"/>
      <c r="D40" s="25"/>
      <c r="E40" s="64"/>
      <c r="F40" s="64"/>
      <c r="G40" s="25"/>
      <c r="H40" s="25"/>
      <c r="I40" s="25"/>
      <c r="J40" s="25"/>
    </row>
    <row r="41" spans="2:10">
      <c r="B41" s="25"/>
      <c r="C41" s="25"/>
      <c r="D41" s="25"/>
      <c r="E41" s="64"/>
      <c r="F41" s="64"/>
      <c r="G41" s="25"/>
      <c r="H41" s="25"/>
      <c r="I41" s="25"/>
      <c r="J41" s="25"/>
    </row>
    <row r="42" spans="2:10">
      <c r="B42" s="25"/>
      <c r="C42" s="25"/>
      <c r="D42" s="25"/>
      <c r="E42" s="64"/>
      <c r="F42" s="64"/>
      <c r="G42" s="25"/>
      <c r="H42" s="25"/>
      <c r="I42" s="25"/>
      <c r="J42" s="25"/>
    </row>
    <row r="43" spans="2:10">
      <c r="B43" s="25"/>
      <c r="C43" s="25"/>
      <c r="D43" s="25"/>
      <c r="E43" s="64"/>
      <c r="F43" s="64"/>
      <c r="G43" s="25"/>
      <c r="H43" s="25"/>
      <c r="I43" s="25"/>
      <c r="J43" s="25"/>
    </row>
    <row r="44" spans="2:10">
      <c r="B44" s="25"/>
      <c r="C44" s="25"/>
      <c r="D44" s="25"/>
      <c r="E44" s="64"/>
      <c r="F44" s="64"/>
      <c r="G44" s="25"/>
      <c r="H44" s="25"/>
      <c r="I44" s="25"/>
      <c r="J44" s="25"/>
    </row>
    <row r="45" spans="2:10">
      <c r="B45" s="25"/>
      <c r="C45" s="25"/>
      <c r="D45" s="25"/>
      <c r="E45" s="64"/>
      <c r="F45" s="64"/>
      <c r="G45" s="25"/>
      <c r="H45" s="25"/>
      <c r="I45" s="25"/>
      <c r="J45" s="25"/>
    </row>
    <row r="46" spans="2:10">
      <c r="B46" s="25"/>
      <c r="C46" s="25"/>
      <c r="D46" s="25"/>
      <c r="E46" s="64"/>
      <c r="F46" s="64"/>
      <c r="G46" s="25"/>
      <c r="H46" s="25"/>
      <c r="I46" s="25"/>
      <c r="J46" s="25"/>
    </row>
    <row r="47" spans="2:10">
      <c r="B47" s="25"/>
      <c r="C47" s="25"/>
      <c r="D47" s="25"/>
      <c r="E47" s="64"/>
      <c r="F47" s="64"/>
      <c r="G47" s="25"/>
      <c r="H47" s="25"/>
      <c r="I47" s="25"/>
      <c r="J47" s="25"/>
    </row>
    <row r="48" spans="2:10">
      <c r="B48" s="25"/>
      <c r="C48" s="25"/>
      <c r="D48" s="25"/>
      <c r="E48" s="64"/>
      <c r="F48" s="64"/>
      <c r="G48" s="25"/>
      <c r="H48" s="25"/>
      <c r="I48" s="25"/>
      <c r="J48" s="25"/>
    </row>
    <row r="49" spans="2:10">
      <c r="B49" s="25"/>
      <c r="C49" s="25"/>
      <c r="D49" s="25"/>
      <c r="E49" s="64"/>
      <c r="F49" s="64"/>
      <c r="G49" s="25"/>
      <c r="H49" s="25"/>
      <c r="I49" s="25"/>
      <c r="J49" s="25"/>
    </row>
    <row r="50" spans="2:10">
      <c r="B50" s="25"/>
      <c r="C50" s="25"/>
      <c r="D50" s="25"/>
      <c r="E50" s="64"/>
      <c r="F50" s="64"/>
      <c r="G50" s="25"/>
      <c r="H50" s="25"/>
      <c r="I50" s="25"/>
      <c r="J50" s="25"/>
    </row>
    <row r="51" spans="2:10">
      <c r="B51" s="25"/>
      <c r="C51" s="25"/>
      <c r="D51" s="25"/>
      <c r="E51" s="64"/>
      <c r="F51" s="64"/>
      <c r="G51" s="25"/>
      <c r="H51" s="25"/>
      <c r="I51" s="25"/>
      <c r="J51" s="25"/>
    </row>
    <row r="52" spans="2:10">
      <c r="B52" s="25"/>
      <c r="C52" s="25"/>
      <c r="D52" s="25"/>
      <c r="E52" s="64"/>
      <c r="F52" s="64"/>
      <c r="G52" s="25"/>
      <c r="H52" s="25"/>
      <c r="I52" s="25"/>
      <c r="J52" s="25"/>
    </row>
    <row r="53" spans="2:10">
      <c r="B53" s="25"/>
      <c r="C53" s="25"/>
      <c r="D53" s="25"/>
      <c r="E53" s="64"/>
      <c r="F53" s="64"/>
      <c r="G53" s="25"/>
      <c r="H53" s="25"/>
      <c r="I53" s="25"/>
      <c r="J53" s="25"/>
    </row>
    <row r="54" spans="2:10">
      <c r="B54" s="25"/>
      <c r="C54" s="25"/>
      <c r="D54" s="25"/>
      <c r="E54" s="64"/>
      <c r="F54" s="64"/>
      <c r="G54" s="25"/>
      <c r="H54" s="25"/>
      <c r="I54" s="25"/>
      <c r="J54" s="25"/>
    </row>
    <row r="55" spans="2:10">
      <c r="B55" s="25"/>
      <c r="C55" s="25"/>
      <c r="D55" s="25"/>
      <c r="E55" s="64"/>
      <c r="F55" s="64"/>
      <c r="G55" s="25"/>
      <c r="H55" s="25"/>
      <c r="I55" s="25"/>
      <c r="J55" s="25"/>
    </row>
    <row r="56" spans="2:10">
      <c r="B56" s="25"/>
      <c r="C56" s="25"/>
      <c r="D56" s="25"/>
      <c r="E56" s="64"/>
      <c r="F56" s="64"/>
      <c r="G56" s="25"/>
      <c r="H56" s="25"/>
      <c r="I56" s="25"/>
      <c r="J56" s="25"/>
    </row>
    <row r="57" spans="2:10">
      <c r="B57" s="25"/>
      <c r="C57" s="25"/>
      <c r="D57" s="25"/>
      <c r="E57" s="64"/>
      <c r="F57" s="64"/>
      <c r="G57" s="25"/>
      <c r="H57" s="25"/>
      <c r="I57" s="25"/>
      <c r="J57" s="25"/>
    </row>
    <row r="58" spans="2:10">
      <c r="B58" s="25"/>
      <c r="C58" s="25"/>
      <c r="D58" s="25"/>
      <c r="E58" s="64"/>
      <c r="F58" s="64"/>
      <c r="G58" s="25"/>
      <c r="H58" s="25"/>
      <c r="I58" s="25"/>
      <c r="J58" s="25"/>
    </row>
    <row r="59" spans="2:10">
      <c r="B59" s="25"/>
      <c r="C59" s="25"/>
      <c r="D59" s="25"/>
      <c r="E59" s="64"/>
      <c r="F59" s="64"/>
      <c r="G59" s="25"/>
      <c r="H59" s="25"/>
      <c r="I59" s="25"/>
      <c r="J59" s="25"/>
    </row>
    <row r="60" spans="2:10">
      <c r="B60" s="25"/>
      <c r="C60" s="25"/>
      <c r="D60" s="25"/>
      <c r="E60" s="64"/>
      <c r="F60" s="64"/>
      <c r="G60" s="25"/>
      <c r="H60" s="25"/>
      <c r="I60" s="25"/>
      <c r="J60" s="25"/>
    </row>
    <row r="61" spans="2:10">
      <c r="B61" s="25"/>
      <c r="C61" s="25"/>
      <c r="D61" s="25"/>
      <c r="E61" s="64"/>
      <c r="F61" s="64"/>
      <c r="G61" s="25"/>
      <c r="H61" s="25"/>
      <c r="I61" s="25"/>
      <c r="J61" s="25"/>
    </row>
    <row r="62" spans="2:10">
      <c r="B62" s="25"/>
      <c r="C62" s="25"/>
      <c r="D62" s="25"/>
      <c r="E62" s="64"/>
      <c r="F62" s="64"/>
      <c r="G62" s="25"/>
      <c r="H62" s="25"/>
      <c r="I62" s="25"/>
      <c r="J62" s="25"/>
    </row>
    <row r="63" spans="2:10">
      <c r="B63" s="25"/>
      <c r="C63" s="25"/>
      <c r="D63" s="25"/>
      <c r="E63" s="64"/>
      <c r="F63" s="64"/>
      <c r="G63" s="25"/>
      <c r="H63" s="25"/>
      <c r="I63" s="25"/>
      <c r="J63" s="25"/>
    </row>
    <row r="64" spans="2:10">
      <c r="B64" s="25"/>
      <c r="C64" s="25"/>
      <c r="D64" s="25"/>
      <c r="E64" s="64"/>
      <c r="F64" s="64"/>
      <c r="G64" s="25"/>
      <c r="H64" s="25"/>
      <c r="I64" s="25"/>
      <c r="J64" s="25"/>
    </row>
    <row r="65" spans="2:10">
      <c r="B65" s="25"/>
      <c r="C65" s="25"/>
      <c r="D65" s="25"/>
      <c r="E65" s="64"/>
      <c r="F65" s="64"/>
      <c r="G65" s="25"/>
      <c r="H65" s="25"/>
      <c r="I65" s="25"/>
      <c r="J65" s="25"/>
    </row>
    <row r="66" spans="2:10">
      <c r="B66" s="25"/>
      <c r="C66" s="25"/>
      <c r="D66" s="25"/>
      <c r="E66" s="64"/>
      <c r="F66" s="64"/>
      <c r="G66" s="25"/>
      <c r="H66" s="25"/>
      <c r="I66" s="25"/>
      <c r="J66" s="25"/>
    </row>
    <row r="67" spans="2:10">
      <c r="B67" s="25"/>
      <c r="C67" s="25"/>
      <c r="D67" s="25"/>
      <c r="E67" s="64"/>
      <c r="F67" s="64"/>
      <c r="G67" s="25"/>
      <c r="H67" s="25"/>
      <c r="I67" s="25"/>
      <c r="J67" s="25"/>
    </row>
    <row r="68" spans="2:10">
      <c r="B68" s="25"/>
      <c r="C68" s="25"/>
      <c r="D68" s="25"/>
      <c r="E68" s="64"/>
      <c r="F68" s="64"/>
      <c r="G68" s="25"/>
      <c r="H68" s="25"/>
      <c r="I68" s="25"/>
      <c r="J68" s="25"/>
    </row>
    <row r="69" spans="2:10">
      <c r="B69" s="25"/>
      <c r="C69" s="25"/>
      <c r="D69" s="25"/>
      <c r="E69" s="64"/>
      <c r="F69" s="64"/>
      <c r="G69" s="25"/>
      <c r="H69" s="25"/>
      <c r="I69" s="25"/>
      <c r="J69" s="25"/>
    </row>
    <row r="70" spans="2:10">
      <c r="B70" s="25"/>
      <c r="C70" s="25"/>
      <c r="D70" s="25"/>
      <c r="E70" s="64"/>
      <c r="F70" s="64"/>
      <c r="G70" s="25"/>
      <c r="H70" s="25"/>
      <c r="I70" s="25"/>
      <c r="J70" s="25"/>
    </row>
    <row r="71" spans="2:10">
      <c r="B71" s="25"/>
      <c r="C71" s="25"/>
      <c r="D71" s="25"/>
      <c r="E71" s="64"/>
      <c r="F71" s="64"/>
      <c r="G71" s="25"/>
      <c r="H71" s="25"/>
      <c r="I71" s="25"/>
      <c r="J71" s="25"/>
    </row>
    <row r="72" spans="2:10">
      <c r="B72" s="25"/>
      <c r="C72" s="25"/>
      <c r="D72" s="25"/>
      <c r="E72" s="64"/>
      <c r="F72" s="64"/>
      <c r="G72" s="25"/>
      <c r="H72" s="25"/>
      <c r="I72" s="25"/>
      <c r="J72" s="25"/>
    </row>
    <row r="73" spans="2:10">
      <c r="B73" s="25"/>
      <c r="C73" s="25"/>
      <c r="D73" s="25"/>
      <c r="E73" s="64"/>
      <c r="F73" s="64"/>
      <c r="G73" s="25"/>
      <c r="H73" s="25"/>
      <c r="I73" s="25"/>
      <c r="J73" s="25"/>
    </row>
    <row r="74" spans="2:10">
      <c r="B74" s="25"/>
      <c r="C74" s="25"/>
      <c r="D74" s="25"/>
      <c r="E74" s="64"/>
      <c r="F74" s="64"/>
      <c r="G74" s="25"/>
      <c r="H74" s="25"/>
      <c r="I74" s="25"/>
      <c r="J74" s="25"/>
    </row>
    <row r="75" spans="2:10">
      <c r="B75" s="25"/>
      <c r="C75" s="25"/>
      <c r="D75" s="25"/>
      <c r="E75" s="64"/>
      <c r="F75" s="64"/>
      <c r="G75" s="25"/>
      <c r="H75" s="25"/>
      <c r="I75" s="25"/>
      <c r="J75" s="25"/>
    </row>
    <row r="76" spans="2:10">
      <c r="B76" s="25"/>
      <c r="C76" s="25"/>
      <c r="D76" s="25"/>
      <c r="E76" s="64"/>
      <c r="F76" s="64"/>
      <c r="G76" s="25"/>
      <c r="H76" s="25"/>
      <c r="I76" s="25"/>
      <c r="J76" s="25"/>
    </row>
    <row r="77" spans="2:10">
      <c r="B77" s="25"/>
      <c r="C77" s="25"/>
      <c r="D77" s="25"/>
      <c r="E77" s="64"/>
      <c r="F77" s="64"/>
      <c r="G77" s="25"/>
      <c r="H77" s="25"/>
      <c r="I77" s="25"/>
      <c r="J77" s="25"/>
    </row>
    <row r="78" spans="2:10">
      <c r="B78" s="25"/>
      <c r="C78" s="25"/>
      <c r="D78" s="25"/>
      <c r="E78" s="64"/>
      <c r="F78" s="64"/>
      <c r="G78" s="25"/>
      <c r="H78" s="25"/>
      <c r="I78" s="25"/>
      <c r="J78" s="25"/>
    </row>
    <row r="79" spans="2:10">
      <c r="B79" s="25"/>
      <c r="C79" s="25"/>
      <c r="D79" s="25"/>
      <c r="E79" s="64"/>
      <c r="F79" s="64"/>
      <c r="G79" s="25"/>
      <c r="H79" s="25"/>
      <c r="I79" s="25"/>
      <c r="J79" s="25"/>
    </row>
    <row r="80" spans="2:10">
      <c r="B80" s="25"/>
      <c r="C80" s="25"/>
      <c r="D80" s="25"/>
      <c r="E80" s="64"/>
      <c r="F80" s="64"/>
      <c r="G80" s="25"/>
      <c r="H80" s="25"/>
      <c r="I80" s="25"/>
      <c r="J80" s="25"/>
    </row>
    <row r="81" spans="2:10">
      <c r="B81" s="25"/>
      <c r="C81" s="25"/>
      <c r="D81" s="25"/>
      <c r="E81" s="64"/>
      <c r="F81" s="64"/>
      <c r="G81" s="25"/>
      <c r="H81" s="25"/>
      <c r="I81" s="25"/>
      <c r="J81" s="25"/>
    </row>
    <row r="82" spans="2:10">
      <c r="B82" s="25"/>
      <c r="C82" s="25"/>
      <c r="D82" s="25"/>
      <c r="E82" s="64"/>
      <c r="F82" s="64"/>
      <c r="G82" s="25"/>
      <c r="H82" s="25"/>
      <c r="I82" s="25"/>
      <c r="J82" s="25"/>
    </row>
    <row r="83" spans="2:10">
      <c r="B83" s="25"/>
      <c r="C83" s="25"/>
      <c r="D83" s="25"/>
      <c r="E83" s="64"/>
      <c r="F83" s="64"/>
      <c r="G83" s="25"/>
      <c r="H83" s="25"/>
      <c r="I83" s="25"/>
      <c r="J83" s="25"/>
    </row>
    <row r="84" spans="2:10">
      <c r="B84" s="25"/>
      <c r="C84" s="25"/>
      <c r="D84" s="25"/>
      <c r="E84" s="64"/>
      <c r="F84" s="64"/>
      <c r="G84" s="25"/>
      <c r="H84" s="25"/>
      <c r="I84" s="25"/>
      <c r="J84" s="25"/>
    </row>
    <row r="85" spans="2:10">
      <c r="B85" s="25"/>
      <c r="C85" s="25"/>
      <c r="D85" s="25"/>
      <c r="E85" s="64"/>
      <c r="F85" s="64"/>
      <c r="G85" s="25"/>
      <c r="H85" s="25"/>
      <c r="I85" s="25"/>
      <c r="J85" s="25"/>
    </row>
    <row r="86" spans="2:10">
      <c r="B86" s="25"/>
      <c r="C86" s="25"/>
      <c r="D86" s="25"/>
      <c r="E86" s="64"/>
      <c r="F86" s="64"/>
      <c r="G86" s="25"/>
      <c r="H86" s="25"/>
      <c r="I86" s="25"/>
      <c r="J86" s="25"/>
    </row>
    <row r="87" spans="2:10">
      <c r="B87" s="25"/>
      <c r="C87" s="25"/>
      <c r="D87" s="25"/>
      <c r="E87" s="64"/>
      <c r="F87" s="64"/>
      <c r="G87" s="25"/>
      <c r="H87" s="25"/>
      <c r="I87" s="25"/>
      <c r="J87" s="25"/>
    </row>
    <row r="88" spans="2:10">
      <c r="B88" s="25"/>
      <c r="C88" s="25"/>
      <c r="D88" s="25"/>
      <c r="E88" s="64"/>
      <c r="F88" s="64"/>
      <c r="G88" s="25"/>
      <c r="H88" s="25"/>
      <c r="I88" s="25"/>
      <c r="J88" s="25"/>
    </row>
    <row r="89" spans="2:10">
      <c r="B89" s="25"/>
      <c r="C89" s="25"/>
      <c r="D89" s="25"/>
      <c r="E89" s="64"/>
      <c r="F89" s="64"/>
      <c r="G89" s="25"/>
      <c r="H89" s="25"/>
      <c r="I89" s="25"/>
      <c r="J89" s="25"/>
    </row>
    <row r="90" spans="2:10">
      <c r="B90" s="25"/>
      <c r="C90" s="25"/>
      <c r="D90" s="25"/>
      <c r="E90" s="64"/>
      <c r="F90" s="64"/>
      <c r="G90" s="25"/>
      <c r="H90" s="25"/>
      <c r="I90" s="25"/>
      <c r="J90" s="25"/>
    </row>
    <row r="91" spans="2:10">
      <c r="B91" s="25"/>
      <c r="C91" s="25"/>
      <c r="D91" s="25"/>
      <c r="E91" s="64"/>
      <c r="F91" s="64"/>
      <c r="G91" s="25"/>
      <c r="H91" s="25"/>
      <c r="I91" s="25"/>
      <c r="J91" s="25"/>
    </row>
    <row r="92" spans="2:10">
      <c r="B92" s="25"/>
      <c r="C92" s="25"/>
      <c r="D92" s="25"/>
      <c r="E92" s="64"/>
      <c r="F92" s="64"/>
      <c r="G92" s="25"/>
      <c r="H92" s="25"/>
      <c r="I92" s="25"/>
      <c r="J92" s="25"/>
    </row>
    <row r="93" spans="2:10">
      <c r="B93" s="25"/>
      <c r="C93" s="25"/>
      <c r="D93" s="25"/>
      <c r="E93" s="64"/>
      <c r="F93" s="64"/>
      <c r="G93" s="25"/>
      <c r="H93" s="25"/>
      <c r="I93" s="25"/>
      <c r="J93" s="25"/>
    </row>
    <row r="94" spans="2:10">
      <c r="B94" s="25"/>
      <c r="C94" s="25"/>
      <c r="D94" s="25"/>
      <c r="E94" s="64"/>
      <c r="F94" s="64"/>
      <c r="G94" s="25"/>
      <c r="H94" s="25"/>
      <c r="I94" s="25"/>
      <c r="J94" s="25"/>
    </row>
    <row r="95" spans="2:10">
      <c r="B95" s="25"/>
      <c r="C95" s="25"/>
      <c r="D95" s="25"/>
      <c r="E95" s="64"/>
      <c r="F95" s="64"/>
      <c r="G95" s="25"/>
      <c r="H95" s="25"/>
      <c r="I95" s="25"/>
      <c r="J95" s="25"/>
    </row>
    <row r="96" spans="2:10">
      <c r="B96" s="25"/>
      <c r="C96" s="25"/>
      <c r="D96" s="25"/>
      <c r="E96" s="64"/>
      <c r="F96" s="64"/>
      <c r="G96" s="25"/>
      <c r="H96" s="25"/>
      <c r="I96" s="25"/>
      <c r="J96" s="25"/>
    </row>
    <row r="97" spans="2:10">
      <c r="B97" s="25"/>
      <c r="C97" s="25"/>
      <c r="D97" s="25"/>
      <c r="E97" s="64"/>
      <c r="F97" s="64"/>
      <c r="G97" s="25"/>
      <c r="H97" s="25"/>
      <c r="I97" s="25"/>
      <c r="J97" s="25"/>
    </row>
    <row r="98" spans="2:10">
      <c r="B98" s="25"/>
      <c r="C98" s="25"/>
      <c r="D98" s="25"/>
      <c r="E98" s="64"/>
      <c r="F98" s="64"/>
      <c r="G98" s="25"/>
      <c r="H98" s="25"/>
      <c r="I98" s="25"/>
      <c r="J98" s="25"/>
    </row>
    <row r="99" spans="2:10">
      <c r="B99" s="25"/>
      <c r="C99" s="25"/>
      <c r="D99" s="25"/>
      <c r="E99" s="64"/>
      <c r="F99" s="64"/>
      <c r="G99" s="25"/>
      <c r="H99" s="25"/>
      <c r="I99" s="25"/>
      <c r="J99" s="25"/>
    </row>
    <row r="100" spans="2:10">
      <c r="B100" s="25"/>
      <c r="C100" s="25"/>
      <c r="D100" s="25"/>
      <c r="E100" s="64"/>
      <c r="F100" s="64"/>
      <c r="G100" s="25"/>
      <c r="H100" s="25"/>
      <c r="I100" s="25"/>
      <c r="J100" s="25"/>
    </row>
    <row r="101" spans="2:10">
      <c r="B101" s="25"/>
      <c r="C101" s="25"/>
      <c r="D101" s="25"/>
      <c r="E101" s="64"/>
      <c r="F101" s="64"/>
      <c r="G101" s="25"/>
      <c r="H101" s="25"/>
      <c r="I101" s="25"/>
      <c r="J101" s="25"/>
    </row>
    <row r="102" spans="2:10">
      <c r="B102" s="25"/>
      <c r="C102" s="25"/>
      <c r="D102" s="25"/>
      <c r="E102" s="64"/>
      <c r="F102" s="64"/>
      <c r="G102" s="25"/>
      <c r="H102" s="25"/>
      <c r="I102" s="25"/>
      <c r="J102" s="25"/>
    </row>
    <row r="103" spans="2:10">
      <c r="B103" s="25"/>
      <c r="C103" s="25"/>
      <c r="D103" s="25"/>
      <c r="E103" s="64"/>
      <c r="F103" s="64"/>
      <c r="G103" s="25"/>
      <c r="H103" s="25"/>
      <c r="I103" s="25"/>
      <c r="J103" s="25"/>
    </row>
    <row r="104" spans="2:10">
      <c r="B104" s="25"/>
      <c r="C104" s="25"/>
      <c r="D104" s="25"/>
      <c r="E104" s="64"/>
      <c r="F104" s="64"/>
      <c r="G104" s="25"/>
      <c r="H104" s="25"/>
      <c r="I104" s="25"/>
      <c r="J104" s="25"/>
    </row>
    <row r="105" spans="2:10">
      <c r="B105" s="25"/>
      <c r="C105" s="25"/>
      <c r="D105" s="25"/>
      <c r="E105" s="64"/>
      <c r="F105" s="64"/>
      <c r="G105" s="25"/>
      <c r="H105" s="25"/>
      <c r="I105" s="25"/>
      <c r="J105" s="25"/>
    </row>
    <row r="106" spans="2:10">
      <c r="B106" s="25"/>
      <c r="C106" s="25"/>
      <c r="D106" s="25"/>
      <c r="E106" s="64"/>
      <c r="F106" s="64"/>
      <c r="G106" s="25"/>
      <c r="H106" s="25"/>
      <c r="I106" s="25"/>
      <c r="J106" s="25"/>
    </row>
    <row r="107" spans="2:10">
      <c r="B107" s="25"/>
      <c r="C107" s="25"/>
      <c r="D107" s="25"/>
      <c r="E107" s="64"/>
      <c r="F107" s="64"/>
      <c r="G107" s="25"/>
      <c r="H107" s="25"/>
      <c r="I107" s="25"/>
      <c r="J107" s="25"/>
    </row>
    <row r="108" spans="2:10">
      <c r="B108" s="25"/>
      <c r="C108" s="25"/>
      <c r="D108" s="25"/>
      <c r="E108" s="64"/>
      <c r="F108" s="64"/>
      <c r="G108" s="25"/>
      <c r="H108" s="25"/>
      <c r="I108" s="25"/>
      <c r="J108" s="25"/>
    </row>
    <row r="109" spans="2:10">
      <c r="B109" s="25"/>
      <c r="C109" s="25"/>
      <c r="D109" s="25"/>
      <c r="E109" s="64"/>
      <c r="F109" s="64"/>
      <c r="G109" s="25"/>
      <c r="H109" s="25"/>
      <c r="I109" s="25"/>
      <c r="J109" s="25"/>
    </row>
    <row r="110" spans="2:10">
      <c r="B110" s="25"/>
      <c r="C110" s="25"/>
      <c r="D110" s="25"/>
      <c r="E110" s="64"/>
      <c r="F110" s="64"/>
      <c r="G110" s="25"/>
      <c r="H110" s="25"/>
      <c r="I110" s="25"/>
      <c r="J110" s="25"/>
    </row>
    <row r="111" spans="2:10">
      <c r="B111" s="25"/>
      <c r="C111" s="25"/>
      <c r="D111" s="25"/>
      <c r="E111" s="64"/>
      <c r="F111" s="64"/>
      <c r="G111" s="25"/>
      <c r="H111" s="25"/>
      <c r="I111" s="25"/>
      <c r="J111" s="25"/>
    </row>
    <row r="112" spans="2:10">
      <c r="B112" s="25"/>
      <c r="C112" s="25"/>
      <c r="D112" s="25"/>
      <c r="E112" s="64"/>
      <c r="F112" s="64"/>
      <c r="G112" s="25"/>
      <c r="H112" s="25"/>
      <c r="I112" s="25"/>
      <c r="J112" s="25"/>
    </row>
    <row r="113" spans="2:10">
      <c r="B113" s="25"/>
      <c r="C113" s="25"/>
      <c r="D113" s="25"/>
      <c r="E113" s="64"/>
      <c r="F113" s="64"/>
      <c r="G113" s="25"/>
      <c r="H113" s="25"/>
      <c r="I113" s="25"/>
      <c r="J113" s="25"/>
    </row>
    <row r="114" spans="2:10">
      <c r="B114" s="25"/>
      <c r="C114" s="25"/>
      <c r="D114" s="25"/>
      <c r="E114" s="64"/>
      <c r="F114" s="64"/>
      <c r="G114" s="25"/>
      <c r="H114" s="25"/>
      <c r="I114" s="25"/>
      <c r="J114" s="25"/>
    </row>
    <row r="115" spans="2:10">
      <c r="B115" s="25"/>
      <c r="C115" s="25"/>
      <c r="D115" s="25"/>
      <c r="E115" s="64"/>
      <c r="F115" s="64"/>
      <c r="G115" s="25"/>
      <c r="H115" s="25"/>
      <c r="I115" s="25"/>
      <c r="J115" s="25"/>
    </row>
    <row r="116" spans="2:10">
      <c r="B116" s="25"/>
      <c r="C116" s="25"/>
      <c r="D116" s="25"/>
      <c r="E116" s="64"/>
      <c r="F116" s="64"/>
      <c r="G116" s="25"/>
      <c r="H116" s="25"/>
      <c r="I116" s="25"/>
      <c r="J116" s="25"/>
    </row>
    <row r="117" spans="2:10">
      <c r="B117" s="25"/>
      <c r="C117" s="25"/>
      <c r="D117" s="25"/>
      <c r="E117" s="64"/>
      <c r="F117" s="64"/>
      <c r="G117" s="25"/>
      <c r="H117" s="25"/>
      <c r="I117" s="25"/>
      <c r="J117" s="25"/>
    </row>
    <row r="118" spans="2:10">
      <c r="B118" s="25"/>
      <c r="C118" s="25"/>
      <c r="D118" s="25"/>
      <c r="E118" s="64"/>
      <c r="F118" s="64"/>
      <c r="G118" s="25"/>
      <c r="H118" s="25"/>
      <c r="I118" s="25"/>
      <c r="J118" s="25"/>
    </row>
    <row r="119" spans="2:10">
      <c r="B119" s="25"/>
      <c r="C119" s="25"/>
      <c r="D119" s="25"/>
      <c r="E119" s="64"/>
      <c r="F119" s="64"/>
      <c r="G119" s="25"/>
      <c r="H119" s="25"/>
      <c r="I119" s="25"/>
      <c r="J119" s="25"/>
    </row>
    <row r="120" spans="2:10">
      <c r="B120" s="25"/>
      <c r="C120" s="25"/>
      <c r="D120" s="25"/>
      <c r="E120" s="64"/>
      <c r="F120" s="64"/>
      <c r="G120" s="25"/>
      <c r="H120" s="25"/>
      <c r="I120" s="25"/>
      <c r="J120" s="25"/>
    </row>
    <row r="121" spans="2:10">
      <c r="B121" s="25"/>
      <c r="C121" s="25"/>
      <c r="D121" s="25"/>
      <c r="E121" s="64"/>
      <c r="F121" s="64"/>
      <c r="G121" s="25"/>
      <c r="H121" s="25"/>
      <c r="I121" s="25"/>
      <c r="J121" s="25"/>
    </row>
    <row r="122" spans="2:10">
      <c r="B122" s="25"/>
      <c r="C122" s="25"/>
      <c r="D122" s="25"/>
      <c r="E122" s="64"/>
      <c r="F122" s="64"/>
      <c r="G122" s="25"/>
      <c r="H122" s="25"/>
      <c r="I122" s="25"/>
      <c r="J122" s="25"/>
    </row>
    <row r="123" spans="2:10">
      <c r="B123" s="25"/>
      <c r="C123" s="25"/>
      <c r="D123" s="25"/>
      <c r="E123" s="64"/>
      <c r="F123" s="64"/>
      <c r="G123" s="25"/>
      <c r="H123" s="25"/>
      <c r="I123" s="25"/>
      <c r="J123" s="25"/>
    </row>
    <row r="124" spans="2:10">
      <c r="B124" s="25"/>
      <c r="C124" s="25"/>
      <c r="D124" s="25"/>
      <c r="E124" s="64"/>
      <c r="F124" s="64"/>
      <c r="G124" s="25"/>
      <c r="H124" s="25"/>
      <c r="I124" s="25"/>
      <c r="J124" s="25"/>
    </row>
    <row r="125" spans="2:10">
      <c r="B125" s="25"/>
      <c r="C125" s="25"/>
      <c r="D125" s="25"/>
      <c r="E125" s="64"/>
      <c r="F125" s="64"/>
      <c r="G125" s="25"/>
      <c r="H125" s="25"/>
      <c r="I125" s="25"/>
      <c r="J125" s="25"/>
    </row>
    <row r="126" spans="2:10">
      <c r="B126" s="25"/>
      <c r="C126" s="25"/>
      <c r="D126" s="25"/>
      <c r="E126" s="64"/>
      <c r="F126" s="64"/>
      <c r="G126" s="25"/>
      <c r="H126" s="25"/>
      <c r="I126" s="25"/>
      <c r="J126" s="25"/>
    </row>
    <row r="127" spans="2:10">
      <c r="B127" s="25"/>
      <c r="C127" s="25"/>
      <c r="D127" s="25"/>
      <c r="E127" s="64"/>
      <c r="F127" s="64"/>
      <c r="G127" s="25"/>
      <c r="H127" s="25"/>
      <c r="I127" s="25"/>
      <c r="J127" s="25"/>
    </row>
    <row r="128" spans="2:10">
      <c r="B128" s="25"/>
      <c r="C128" s="25"/>
      <c r="D128" s="25"/>
      <c r="E128" s="64"/>
      <c r="F128" s="64"/>
      <c r="G128" s="25"/>
      <c r="H128" s="25"/>
      <c r="I128" s="25"/>
      <c r="J128" s="25"/>
    </row>
    <row r="129" spans="2:10">
      <c r="B129" s="25"/>
      <c r="C129" s="25"/>
      <c r="D129" s="25"/>
      <c r="E129" s="64"/>
      <c r="F129" s="64"/>
      <c r="G129" s="25"/>
      <c r="H129" s="25"/>
      <c r="I129" s="25"/>
      <c r="J129" s="25"/>
    </row>
    <row r="130" spans="2:10">
      <c r="B130" s="25"/>
      <c r="C130" s="25"/>
      <c r="D130" s="25"/>
      <c r="E130" s="64"/>
      <c r="F130" s="64"/>
      <c r="G130" s="25"/>
      <c r="H130" s="25"/>
      <c r="I130" s="25"/>
      <c r="J130" s="25"/>
    </row>
    <row r="131" spans="2:10">
      <c r="B131" s="25"/>
      <c r="C131" s="25"/>
      <c r="D131" s="25"/>
      <c r="E131" s="64"/>
      <c r="F131" s="64"/>
      <c r="G131" s="25"/>
      <c r="H131" s="25"/>
      <c r="I131" s="25"/>
      <c r="J131" s="25"/>
    </row>
    <row r="132" spans="2:10">
      <c r="B132" s="25"/>
      <c r="C132" s="25"/>
      <c r="D132" s="25"/>
      <c r="E132" s="64"/>
      <c r="F132" s="64"/>
      <c r="G132" s="25"/>
      <c r="H132" s="25"/>
      <c r="I132" s="25"/>
      <c r="J132" s="25"/>
    </row>
    <row r="133" spans="2:10">
      <c r="B133" s="25"/>
      <c r="C133" s="25"/>
      <c r="D133" s="25"/>
      <c r="E133" s="64"/>
      <c r="F133" s="64"/>
      <c r="G133" s="25"/>
      <c r="H133" s="25"/>
      <c r="I133" s="25"/>
      <c r="J133" s="25"/>
    </row>
    <row r="134" spans="2:10">
      <c r="B134" s="25"/>
      <c r="C134" s="25"/>
      <c r="D134" s="25"/>
      <c r="E134" s="64"/>
      <c r="F134" s="64"/>
      <c r="G134" s="25"/>
      <c r="H134" s="25"/>
      <c r="I134" s="25"/>
      <c r="J134" s="25"/>
    </row>
    <row r="135" spans="2:10">
      <c r="B135" s="25"/>
      <c r="C135" s="25"/>
      <c r="D135" s="25"/>
      <c r="E135" s="64"/>
      <c r="F135" s="64"/>
      <c r="G135" s="25"/>
      <c r="H135" s="25"/>
      <c r="I135" s="25"/>
      <c r="J135" s="25"/>
    </row>
    <row r="136" spans="2:10">
      <c r="B136" s="25"/>
      <c r="C136" s="25"/>
      <c r="D136" s="25"/>
      <c r="E136" s="64"/>
      <c r="F136" s="64"/>
      <c r="G136" s="25"/>
      <c r="H136" s="25"/>
      <c r="I136" s="25"/>
      <c r="J136" s="25"/>
    </row>
    <row r="137" spans="2:10">
      <c r="B137" s="25"/>
      <c r="C137" s="25"/>
      <c r="D137" s="25"/>
      <c r="E137" s="64"/>
      <c r="F137" s="64"/>
      <c r="G137" s="25"/>
      <c r="H137" s="25"/>
      <c r="I137" s="25"/>
      <c r="J137" s="25"/>
    </row>
    <row r="138" spans="2:10">
      <c r="B138" s="25"/>
      <c r="C138" s="25"/>
      <c r="D138" s="25"/>
      <c r="E138" s="64"/>
      <c r="F138" s="64"/>
      <c r="G138" s="25"/>
      <c r="H138" s="25"/>
      <c r="I138" s="25"/>
      <c r="J138" s="25"/>
    </row>
    <row r="139" spans="2:10">
      <c r="B139" s="25"/>
      <c r="C139" s="25"/>
      <c r="D139" s="25"/>
      <c r="E139" s="64"/>
      <c r="F139" s="64"/>
      <c r="G139" s="25"/>
      <c r="H139" s="25"/>
      <c r="I139" s="25"/>
      <c r="J139" s="25"/>
    </row>
    <row r="140" spans="2:10">
      <c r="B140" s="25"/>
      <c r="C140" s="25"/>
      <c r="D140" s="25"/>
      <c r="E140" s="64"/>
      <c r="F140" s="64"/>
      <c r="G140" s="25"/>
      <c r="H140" s="25"/>
      <c r="I140" s="25"/>
      <c r="J140" s="25"/>
    </row>
    <row r="141" spans="2:10">
      <c r="B141" s="25"/>
      <c r="C141" s="25"/>
      <c r="D141" s="25"/>
      <c r="E141" s="64"/>
      <c r="F141" s="64"/>
      <c r="G141" s="25"/>
      <c r="H141" s="25"/>
      <c r="I141" s="25"/>
      <c r="J141" s="25"/>
    </row>
    <row r="142" spans="2:10">
      <c r="B142" s="25"/>
      <c r="C142" s="25"/>
      <c r="D142" s="25"/>
      <c r="E142" s="64"/>
      <c r="F142" s="64"/>
      <c r="G142" s="25"/>
      <c r="H142" s="25"/>
      <c r="I142" s="25"/>
      <c r="J142" s="25"/>
    </row>
    <row r="143" spans="2:10">
      <c r="B143" s="25"/>
      <c r="C143" s="25"/>
      <c r="D143" s="25"/>
      <c r="E143" s="64"/>
      <c r="F143" s="64"/>
      <c r="G143" s="25"/>
      <c r="H143" s="25"/>
      <c r="I143" s="25"/>
      <c r="J143" s="25"/>
    </row>
    <row r="144" spans="2:10">
      <c r="B144" s="25"/>
      <c r="C144" s="25"/>
      <c r="D144" s="25"/>
      <c r="E144" s="64"/>
      <c r="F144" s="64"/>
      <c r="G144" s="25"/>
      <c r="H144" s="25"/>
      <c r="I144" s="25"/>
      <c r="J144" s="25"/>
    </row>
    <row r="145" spans="2:10">
      <c r="B145" s="25"/>
      <c r="C145" s="25"/>
      <c r="D145" s="25"/>
      <c r="E145" s="64"/>
      <c r="F145" s="64"/>
      <c r="G145" s="25"/>
      <c r="H145" s="25"/>
      <c r="I145" s="25"/>
      <c r="J145" s="25"/>
    </row>
    <row r="146" spans="2:10">
      <c r="B146" s="25"/>
      <c r="C146" s="25"/>
      <c r="D146" s="25"/>
      <c r="E146" s="64"/>
      <c r="F146" s="64"/>
      <c r="G146" s="25"/>
      <c r="H146" s="25"/>
      <c r="I146" s="25"/>
      <c r="J146" s="25"/>
    </row>
    <row r="147" spans="2:10">
      <c r="B147" s="25"/>
      <c r="C147" s="25"/>
      <c r="D147" s="25"/>
      <c r="E147" s="64"/>
      <c r="F147" s="64"/>
      <c r="G147" s="25"/>
      <c r="H147" s="25"/>
      <c r="I147" s="25"/>
      <c r="J147" s="25"/>
    </row>
    <row r="148" spans="2:10">
      <c r="B148" s="25"/>
      <c r="C148" s="25"/>
      <c r="D148" s="25"/>
      <c r="E148" s="64"/>
      <c r="F148" s="64"/>
      <c r="G148" s="25"/>
      <c r="H148" s="25"/>
      <c r="I148" s="25"/>
      <c r="J148" s="25"/>
    </row>
    <row r="149" spans="2:10">
      <c r="B149" s="25"/>
      <c r="C149" s="25"/>
      <c r="D149" s="25"/>
      <c r="E149" s="64"/>
      <c r="F149" s="64"/>
      <c r="G149" s="25"/>
      <c r="H149" s="25"/>
      <c r="I149" s="25"/>
      <c r="J149" s="25"/>
    </row>
    <row r="150" spans="2:10">
      <c r="B150" s="25"/>
      <c r="C150" s="25"/>
      <c r="D150" s="25"/>
      <c r="E150" s="64"/>
      <c r="F150" s="64"/>
      <c r="G150" s="25"/>
      <c r="H150" s="25"/>
      <c r="I150" s="25"/>
      <c r="J150" s="25"/>
    </row>
    <row r="151" spans="2:10">
      <c r="B151" s="25"/>
      <c r="C151" s="25"/>
      <c r="D151" s="25"/>
      <c r="E151" s="64"/>
      <c r="F151" s="64"/>
      <c r="G151" s="25"/>
      <c r="H151" s="25"/>
      <c r="I151" s="25"/>
      <c r="J151" s="25"/>
    </row>
    <row r="152" spans="2:10">
      <c r="B152" s="25"/>
      <c r="C152" s="25"/>
      <c r="D152" s="25"/>
      <c r="E152" s="64"/>
      <c r="F152" s="64"/>
      <c r="G152" s="25"/>
      <c r="H152" s="25"/>
      <c r="I152" s="25"/>
      <c r="J152" s="25"/>
    </row>
    <row r="153" spans="2:10">
      <c r="B153" s="25"/>
      <c r="C153" s="25"/>
      <c r="D153" s="25"/>
      <c r="E153" s="64"/>
      <c r="F153" s="64"/>
      <c r="G153" s="25"/>
      <c r="H153" s="25"/>
      <c r="I153" s="25"/>
      <c r="J153" s="25"/>
    </row>
    <row r="154" spans="2:10">
      <c r="B154" s="25"/>
      <c r="C154" s="25"/>
      <c r="D154" s="25"/>
      <c r="E154" s="64"/>
      <c r="F154" s="64"/>
      <c r="G154" s="25"/>
      <c r="H154" s="25"/>
      <c r="I154" s="25"/>
      <c r="J154" s="25"/>
    </row>
    <row r="155" spans="2:10">
      <c r="B155" s="25"/>
      <c r="C155" s="25"/>
      <c r="D155" s="25"/>
      <c r="E155" s="64"/>
      <c r="F155" s="64"/>
      <c r="G155" s="25"/>
      <c r="H155" s="25"/>
      <c r="I155" s="25"/>
      <c r="J155" s="25"/>
    </row>
    <row r="156" spans="2:10">
      <c r="B156" s="25"/>
      <c r="C156" s="25"/>
      <c r="D156" s="25"/>
      <c r="E156" s="64"/>
      <c r="F156" s="64"/>
      <c r="G156" s="25"/>
      <c r="H156" s="25"/>
      <c r="I156" s="25"/>
      <c r="J156" s="25"/>
    </row>
    <row r="157" spans="2:10">
      <c r="B157" s="25"/>
      <c r="C157" s="25"/>
      <c r="D157" s="25"/>
      <c r="E157" s="64"/>
      <c r="F157" s="64"/>
      <c r="G157" s="25"/>
      <c r="H157" s="25"/>
      <c r="I157" s="25"/>
      <c r="J157" s="25"/>
    </row>
    <row r="158" spans="2:10">
      <c r="B158" s="25"/>
      <c r="C158" s="25"/>
      <c r="D158" s="25"/>
      <c r="E158" s="64"/>
      <c r="F158" s="64"/>
      <c r="G158" s="25"/>
      <c r="H158" s="25"/>
      <c r="I158" s="25"/>
      <c r="J158" s="25"/>
    </row>
    <row r="159" spans="2:10">
      <c r="B159" s="25"/>
      <c r="C159" s="25"/>
      <c r="D159" s="25"/>
      <c r="E159" s="64"/>
      <c r="F159" s="64"/>
      <c r="G159" s="25"/>
      <c r="H159" s="25"/>
      <c r="I159" s="25"/>
      <c r="J159" s="25"/>
    </row>
    <row r="160" spans="2:10">
      <c r="B160" s="25"/>
      <c r="C160" s="25"/>
      <c r="D160" s="25"/>
      <c r="E160" s="64"/>
      <c r="F160" s="64"/>
      <c r="G160" s="25"/>
      <c r="H160" s="25"/>
      <c r="I160" s="25"/>
      <c r="J160" s="25"/>
    </row>
    <row r="161" spans="2:10">
      <c r="B161" s="25"/>
      <c r="C161" s="25"/>
      <c r="D161" s="25"/>
      <c r="E161" s="64"/>
      <c r="F161" s="64"/>
      <c r="G161" s="25"/>
      <c r="H161" s="25"/>
      <c r="I161" s="25"/>
      <c r="J161" s="25"/>
    </row>
    <row r="162" spans="2:10">
      <c r="B162" s="25"/>
      <c r="C162" s="25"/>
      <c r="D162" s="25"/>
      <c r="E162" s="64"/>
      <c r="F162" s="64"/>
      <c r="G162" s="25"/>
      <c r="H162" s="25"/>
      <c r="I162" s="25"/>
      <c r="J162" s="25"/>
    </row>
    <row r="163" spans="2:10">
      <c r="B163" s="25"/>
      <c r="C163" s="25"/>
      <c r="D163" s="25"/>
      <c r="E163" s="64"/>
      <c r="F163" s="64"/>
      <c r="G163" s="25"/>
      <c r="H163" s="25"/>
      <c r="I163" s="25"/>
      <c r="J163" s="25"/>
    </row>
    <row r="164" spans="2:10">
      <c r="B164" s="25"/>
      <c r="C164" s="25"/>
      <c r="D164" s="25"/>
      <c r="E164" s="64"/>
      <c r="F164" s="64"/>
      <c r="G164" s="25"/>
      <c r="H164" s="25"/>
      <c r="I164" s="25"/>
      <c r="J164" s="25"/>
    </row>
    <row r="165" spans="2:10">
      <c r="B165" s="25"/>
      <c r="C165" s="25"/>
      <c r="D165" s="25"/>
      <c r="E165" s="64"/>
      <c r="F165" s="64"/>
      <c r="G165" s="25"/>
      <c r="H165" s="25"/>
      <c r="I165" s="25"/>
      <c r="J165" s="25"/>
    </row>
    <row r="166" spans="2:10">
      <c r="B166" s="25"/>
      <c r="C166" s="25"/>
      <c r="D166" s="25"/>
      <c r="E166" s="64"/>
      <c r="F166" s="64"/>
      <c r="G166" s="25"/>
      <c r="H166" s="25"/>
      <c r="I166" s="25"/>
      <c r="J166" s="25"/>
    </row>
    <row r="167" spans="2:10">
      <c r="B167" s="25"/>
      <c r="C167" s="25"/>
      <c r="D167" s="25"/>
      <c r="E167" s="64"/>
      <c r="F167" s="64"/>
      <c r="G167" s="25"/>
      <c r="H167" s="25"/>
      <c r="I167" s="25"/>
      <c r="J167" s="25"/>
    </row>
    <row r="168" spans="2:10">
      <c r="B168" s="25"/>
      <c r="C168" s="25"/>
      <c r="D168" s="25"/>
      <c r="E168" s="64"/>
      <c r="F168" s="64"/>
      <c r="G168" s="25"/>
      <c r="H168" s="25"/>
      <c r="I168" s="25"/>
      <c r="J168" s="25"/>
    </row>
    <row r="169" spans="2:10">
      <c r="B169" s="25"/>
      <c r="C169" s="25"/>
      <c r="D169" s="25"/>
      <c r="E169" s="64"/>
      <c r="F169" s="64"/>
      <c r="G169" s="25"/>
      <c r="H169" s="25"/>
      <c r="I169" s="25"/>
      <c r="J169" s="25"/>
    </row>
    <row r="170" spans="2:10">
      <c r="B170" s="25"/>
      <c r="C170" s="25"/>
      <c r="D170" s="25"/>
      <c r="E170" s="64"/>
      <c r="F170" s="64"/>
      <c r="G170" s="25"/>
      <c r="H170" s="25"/>
      <c r="I170" s="25"/>
      <c r="J170" s="25"/>
    </row>
    <row r="171" spans="2:10">
      <c r="B171" s="25"/>
      <c r="C171" s="25"/>
      <c r="D171" s="25"/>
      <c r="E171" s="64"/>
      <c r="F171" s="64"/>
      <c r="G171" s="25"/>
      <c r="H171" s="25"/>
      <c r="I171" s="25"/>
      <c r="J171" s="25"/>
    </row>
    <row r="172" spans="2:10">
      <c r="B172" s="25"/>
      <c r="C172" s="25"/>
      <c r="D172" s="25"/>
      <c r="E172" s="64"/>
      <c r="F172" s="64"/>
      <c r="G172" s="25"/>
      <c r="H172" s="25"/>
      <c r="I172" s="25"/>
      <c r="J172" s="25"/>
    </row>
    <row r="173" spans="2:10">
      <c r="B173" s="25"/>
      <c r="C173" s="25"/>
      <c r="D173" s="25"/>
      <c r="E173" s="64"/>
      <c r="F173" s="64"/>
      <c r="G173" s="25"/>
      <c r="H173" s="25"/>
      <c r="I173" s="25"/>
      <c r="J173" s="25"/>
    </row>
    <row r="174" spans="2:10">
      <c r="B174" s="25"/>
      <c r="C174" s="25"/>
      <c r="D174" s="25"/>
      <c r="E174" s="64"/>
      <c r="F174" s="64"/>
      <c r="G174" s="25"/>
      <c r="H174" s="25"/>
      <c r="I174" s="25"/>
      <c r="J174" s="25"/>
    </row>
    <row r="175" spans="2:10">
      <c r="B175" s="25"/>
      <c r="C175" s="25"/>
      <c r="D175" s="25"/>
      <c r="E175" s="64"/>
      <c r="F175" s="64"/>
      <c r="G175" s="25"/>
      <c r="H175" s="25"/>
      <c r="I175" s="25"/>
      <c r="J175" s="25"/>
    </row>
    <row r="176" spans="2:10">
      <c r="B176" s="25"/>
      <c r="C176" s="25"/>
      <c r="D176" s="25"/>
      <c r="E176" s="64"/>
      <c r="F176" s="64"/>
      <c r="G176" s="25"/>
      <c r="H176" s="25"/>
      <c r="I176" s="25"/>
      <c r="J176" s="25"/>
    </row>
    <row r="177" spans="2:10">
      <c r="B177" s="25"/>
      <c r="C177" s="25"/>
      <c r="D177" s="25"/>
      <c r="E177" s="64"/>
      <c r="F177" s="64"/>
      <c r="G177" s="25"/>
      <c r="H177" s="25"/>
      <c r="I177" s="25"/>
      <c r="J177" s="25"/>
    </row>
    <row r="178" spans="2:10">
      <c r="B178" s="25"/>
      <c r="C178" s="25"/>
      <c r="D178" s="25"/>
      <c r="E178" s="64"/>
      <c r="F178" s="64"/>
      <c r="G178" s="25"/>
      <c r="H178" s="25"/>
      <c r="I178" s="25"/>
      <c r="J178" s="25"/>
    </row>
    <row r="179" spans="2:10">
      <c r="B179" s="25"/>
      <c r="C179" s="25"/>
      <c r="D179" s="25"/>
      <c r="E179" s="64"/>
      <c r="F179" s="64"/>
      <c r="G179" s="25"/>
      <c r="H179" s="25"/>
      <c r="I179" s="25"/>
      <c r="J179" s="25"/>
    </row>
    <row r="180" spans="2:10">
      <c r="B180" s="25"/>
      <c r="C180" s="25"/>
      <c r="D180" s="25"/>
      <c r="E180" s="64"/>
      <c r="F180" s="64"/>
      <c r="G180" s="25"/>
      <c r="H180" s="25"/>
      <c r="I180" s="25"/>
      <c r="J180" s="25"/>
    </row>
    <row r="181" spans="2:10">
      <c r="B181" s="25"/>
      <c r="C181" s="25"/>
      <c r="D181" s="25"/>
      <c r="E181" s="64"/>
      <c r="F181" s="64"/>
      <c r="G181" s="25"/>
      <c r="H181" s="25"/>
      <c r="I181" s="25"/>
      <c r="J181" s="25"/>
    </row>
    <row r="182" spans="2:10">
      <c r="B182" s="25"/>
      <c r="C182" s="25"/>
      <c r="D182" s="25"/>
      <c r="E182" s="64"/>
      <c r="F182" s="64"/>
      <c r="G182" s="25"/>
      <c r="H182" s="25"/>
      <c r="I182" s="25"/>
      <c r="J182" s="25"/>
    </row>
    <row r="183" spans="2:10">
      <c r="B183" s="25"/>
      <c r="C183" s="25"/>
      <c r="D183" s="25"/>
      <c r="E183" s="64"/>
      <c r="F183" s="64"/>
      <c r="G183" s="25"/>
      <c r="H183" s="25"/>
      <c r="I183" s="25"/>
      <c r="J183" s="25"/>
    </row>
    <row r="184" spans="2:10">
      <c r="B184" s="25"/>
      <c r="C184" s="25"/>
      <c r="D184" s="25"/>
      <c r="E184" s="64"/>
      <c r="F184" s="64"/>
      <c r="G184" s="25"/>
      <c r="H184" s="25"/>
      <c r="I184" s="25"/>
      <c r="J184" s="25"/>
    </row>
    <row r="185" spans="2:10">
      <c r="B185" s="25"/>
      <c r="C185" s="25"/>
      <c r="D185" s="25"/>
      <c r="E185" s="64"/>
      <c r="F185" s="64"/>
      <c r="G185" s="25"/>
      <c r="H185" s="25"/>
      <c r="I185" s="25"/>
      <c r="J185" s="25"/>
    </row>
    <row r="186" spans="2:10">
      <c r="B186" s="25"/>
      <c r="C186" s="25"/>
      <c r="D186" s="25"/>
      <c r="E186" s="64"/>
      <c r="F186" s="64"/>
      <c r="G186" s="25"/>
      <c r="H186" s="25"/>
      <c r="I186" s="25"/>
      <c r="J186" s="25"/>
    </row>
    <row r="187" spans="2:10">
      <c r="B187" s="25"/>
      <c r="C187" s="25"/>
      <c r="D187" s="25"/>
      <c r="E187" s="64"/>
      <c r="F187" s="64"/>
      <c r="G187" s="25"/>
      <c r="H187" s="25"/>
      <c r="I187" s="25"/>
      <c r="J187" s="25"/>
    </row>
    <row r="188" spans="2:10">
      <c r="B188" s="25"/>
      <c r="C188" s="25"/>
      <c r="D188" s="25"/>
      <c r="E188" s="64"/>
      <c r="F188" s="64"/>
      <c r="G188" s="25"/>
      <c r="H188" s="25"/>
      <c r="I188" s="25"/>
      <c r="J188" s="25"/>
    </row>
    <row r="189" spans="2:10">
      <c r="B189" s="25"/>
      <c r="C189" s="25"/>
      <c r="D189" s="25"/>
      <c r="E189" s="64"/>
      <c r="F189" s="64"/>
      <c r="G189" s="25"/>
      <c r="H189" s="25"/>
      <c r="I189" s="25"/>
      <c r="J189" s="25"/>
    </row>
    <row r="190" spans="2:10">
      <c r="B190" s="25"/>
      <c r="C190" s="25"/>
      <c r="D190" s="25"/>
      <c r="E190" s="64"/>
      <c r="F190" s="64"/>
      <c r="G190" s="25"/>
      <c r="H190" s="25"/>
      <c r="I190" s="25"/>
      <c r="J190" s="25"/>
    </row>
    <row r="191" spans="2:10">
      <c r="B191" s="25"/>
      <c r="C191" s="25"/>
      <c r="D191" s="25"/>
      <c r="E191" s="64"/>
      <c r="F191" s="64"/>
      <c r="G191" s="25"/>
      <c r="H191" s="25"/>
      <c r="I191" s="25"/>
      <c r="J191" s="25"/>
    </row>
    <row r="192" spans="2:10">
      <c r="B192" s="25"/>
      <c r="C192" s="25"/>
      <c r="D192" s="25"/>
      <c r="E192" s="64"/>
      <c r="F192" s="64"/>
      <c r="G192" s="25"/>
      <c r="H192" s="25"/>
      <c r="I192" s="25"/>
      <c r="J192" s="25"/>
    </row>
    <row r="193" spans="2:10">
      <c r="B193" s="25"/>
      <c r="C193" s="25"/>
      <c r="D193" s="25"/>
      <c r="E193" s="64"/>
      <c r="F193" s="64"/>
      <c r="G193" s="25"/>
      <c r="H193" s="25"/>
      <c r="I193" s="25"/>
      <c r="J193" s="25"/>
    </row>
    <row r="194" spans="2:10">
      <c r="B194" s="25"/>
      <c r="C194" s="25"/>
      <c r="D194" s="25"/>
      <c r="E194" s="64"/>
      <c r="F194" s="64"/>
      <c r="G194" s="25"/>
      <c r="H194" s="25"/>
      <c r="I194" s="25"/>
      <c r="J194" s="25"/>
    </row>
    <row r="195" spans="2:10">
      <c r="B195" s="25"/>
      <c r="C195" s="25"/>
      <c r="D195" s="25"/>
      <c r="E195" s="64"/>
      <c r="F195" s="64"/>
      <c r="G195" s="25"/>
      <c r="H195" s="25"/>
      <c r="I195" s="25"/>
      <c r="J195" s="25"/>
    </row>
    <row r="196" spans="2:10">
      <c r="B196" s="25"/>
      <c r="C196" s="25"/>
      <c r="D196" s="25"/>
      <c r="E196" s="64"/>
      <c r="F196" s="64"/>
      <c r="G196" s="25"/>
      <c r="H196" s="25"/>
      <c r="I196" s="25"/>
      <c r="J196" s="25"/>
    </row>
    <row r="197" spans="2:10">
      <c r="B197" s="25"/>
      <c r="C197" s="25"/>
      <c r="D197" s="25"/>
      <c r="E197" s="64"/>
      <c r="F197" s="64"/>
      <c r="G197" s="25"/>
      <c r="H197" s="25"/>
      <c r="I197" s="25"/>
      <c r="J197" s="25"/>
    </row>
    <row r="198" spans="2:10">
      <c r="B198" s="25"/>
      <c r="C198" s="25"/>
      <c r="D198" s="25"/>
      <c r="E198" s="64"/>
      <c r="F198" s="64"/>
      <c r="G198" s="25"/>
      <c r="H198" s="25"/>
      <c r="I198" s="25"/>
      <c r="J198" s="25"/>
    </row>
    <row r="199" spans="2:10">
      <c r="B199" s="25"/>
      <c r="C199" s="25"/>
      <c r="D199" s="25"/>
      <c r="E199" s="64"/>
      <c r="F199" s="64"/>
      <c r="G199" s="25"/>
      <c r="H199" s="25"/>
      <c r="I199" s="25"/>
      <c r="J199" s="25"/>
    </row>
    <row r="200" spans="2:10">
      <c r="B200" s="25"/>
      <c r="C200" s="25"/>
      <c r="D200" s="25"/>
      <c r="E200" s="64"/>
      <c r="F200" s="64"/>
      <c r="G200" s="25"/>
      <c r="H200" s="25"/>
      <c r="I200" s="25"/>
      <c r="J200" s="25"/>
    </row>
    <row r="201" spans="2:10">
      <c r="B201" s="25"/>
      <c r="C201" s="25"/>
      <c r="D201" s="25"/>
      <c r="E201" s="64"/>
      <c r="F201" s="64"/>
      <c r="G201" s="25"/>
      <c r="H201" s="25"/>
      <c r="I201" s="25"/>
      <c r="J201" s="25"/>
    </row>
    <row r="202" spans="2:10">
      <c r="B202" s="25"/>
      <c r="C202" s="25"/>
      <c r="D202" s="25"/>
      <c r="E202" s="64"/>
      <c r="F202" s="64"/>
      <c r="G202" s="25"/>
      <c r="H202" s="25"/>
      <c r="I202" s="25"/>
      <c r="J202" s="25"/>
    </row>
    <row r="203" spans="2:10">
      <c r="B203" s="25"/>
      <c r="C203" s="25"/>
      <c r="D203" s="25"/>
      <c r="E203" s="64"/>
      <c r="F203" s="64"/>
      <c r="G203" s="25"/>
      <c r="H203" s="25"/>
      <c r="I203" s="25"/>
      <c r="J203" s="25"/>
    </row>
    <row r="204" spans="2:10">
      <c r="B204" s="25"/>
      <c r="C204" s="25"/>
      <c r="D204" s="25"/>
      <c r="E204" s="64"/>
      <c r="F204" s="64"/>
      <c r="G204" s="25"/>
      <c r="H204" s="25"/>
      <c r="I204" s="25"/>
      <c r="J204" s="25"/>
    </row>
    <row r="205" spans="2:10">
      <c r="B205" s="25"/>
      <c r="C205" s="25"/>
      <c r="D205" s="25"/>
      <c r="E205" s="64"/>
      <c r="F205" s="64"/>
      <c r="G205" s="25"/>
      <c r="H205" s="25"/>
      <c r="I205" s="25"/>
      <c r="J205" s="25"/>
    </row>
    <row r="206" spans="2:10">
      <c r="B206" s="25"/>
      <c r="C206" s="25"/>
      <c r="D206" s="25"/>
      <c r="E206" s="64"/>
      <c r="F206" s="64"/>
      <c r="G206" s="25"/>
      <c r="H206" s="25"/>
      <c r="I206" s="25"/>
      <c r="J206" s="25"/>
    </row>
    <row r="207" spans="2:10">
      <c r="B207" s="25"/>
      <c r="C207" s="25"/>
      <c r="D207" s="25"/>
      <c r="E207" s="64"/>
      <c r="F207" s="64"/>
      <c r="G207" s="25"/>
      <c r="H207" s="25"/>
      <c r="I207" s="25"/>
      <c r="J207" s="25"/>
    </row>
    <row r="208" spans="2:10">
      <c r="B208" s="25"/>
      <c r="C208" s="25"/>
      <c r="D208" s="25"/>
      <c r="E208" s="64"/>
      <c r="F208" s="64"/>
      <c r="G208" s="25"/>
      <c r="H208" s="25"/>
      <c r="I208" s="25"/>
      <c r="J208" s="25"/>
    </row>
    <row r="209" spans="2:10">
      <c r="B209" s="25"/>
      <c r="C209" s="25"/>
      <c r="D209" s="25"/>
      <c r="E209" s="64"/>
      <c r="F209" s="64"/>
      <c r="G209" s="25"/>
      <c r="H209" s="25"/>
      <c r="I209" s="25"/>
      <c r="J209" s="25"/>
    </row>
    <row r="210" spans="2:10">
      <c r="B210" s="25"/>
      <c r="C210" s="25"/>
      <c r="D210" s="25"/>
      <c r="E210" s="64"/>
      <c r="F210" s="64"/>
      <c r="G210" s="25"/>
      <c r="H210" s="25"/>
      <c r="I210" s="25"/>
      <c r="J210" s="25"/>
    </row>
    <row r="211" spans="2:10">
      <c r="B211" s="25"/>
      <c r="C211" s="25"/>
      <c r="D211" s="25"/>
      <c r="E211" s="64"/>
      <c r="F211" s="64"/>
      <c r="G211" s="25"/>
      <c r="H211" s="25"/>
      <c r="I211" s="25"/>
      <c r="J211" s="25"/>
    </row>
    <row r="212" spans="2:10">
      <c r="B212" s="25"/>
      <c r="C212" s="25"/>
      <c r="D212" s="25"/>
      <c r="E212" s="64"/>
      <c r="F212" s="64"/>
      <c r="G212" s="25"/>
      <c r="H212" s="25"/>
      <c r="I212" s="25"/>
      <c r="J212" s="25"/>
    </row>
    <row r="213" spans="2:10">
      <c r="B213" s="25"/>
      <c r="C213" s="25"/>
      <c r="D213" s="25"/>
      <c r="E213" s="64"/>
      <c r="F213" s="64"/>
      <c r="G213" s="25"/>
      <c r="H213" s="25"/>
      <c r="I213" s="25"/>
      <c r="J213" s="25"/>
    </row>
    <row r="214" spans="2:10">
      <c r="B214" s="25"/>
      <c r="C214" s="25"/>
      <c r="D214" s="25"/>
      <c r="E214" s="64"/>
      <c r="F214" s="64"/>
      <c r="G214" s="25"/>
      <c r="H214" s="25"/>
      <c r="I214" s="25"/>
      <c r="J214" s="25"/>
    </row>
    <row r="215" spans="2:10">
      <c r="B215" s="25"/>
      <c r="C215" s="25"/>
      <c r="D215" s="25"/>
      <c r="E215" s="64"/>
      <c r="F215" s="64"/>
      <c r="G215" s="25"/>
      <c r="H215" s="25"/>
      <c r="I215" s="25"/>
      <c r="J215" s="25"/>
    </row>
    <row r="216" spans="2:10">
      <c r="B216" s="25"/>
      <c r="C216" s="25"/>
      <c r="D216" s="25"/>
      <c r="E216" s="64"/>
      <c r="F216" s="64"/>
      <c r="G216" s="25"/>
      <c r="H216" s="25"/>
      <c r="I216" s="25"/>
      <c r="J216" s="25"/>
    </row>
    <row r="217" spans="2:10">
      <c r="B217" s="25"/>
      <c r="C217" s="25"/>
      <c r="D217" s="25"/>
      <c r="E217" s="64"/>
      <c r="F217" s="64"/>
      <c r="G217" s="25"/>
      <c r="H217" s="25"/>
      <c r="I217" s="25"/>
      <c r="J217" s="25"/>
    </row>
    <row r="218" spans="2:10">
      <c r="B218" s="25"/>
      <c r="C218" s="25"/>
      <c r="D218" s="25"/>
      <c r="E218" s="64"/>
      <c r="F218" s="64"/>
      <c r="G218" s="25"/>
      <c r="H218" s="25"/>
      <c r="I218" s="25"/>
      <c r="J218" s="25"/>
    </row>
    <row r="219" spans="2:10">
      <c r="B219" s="25"/>
      <c r="C219" s="25"/>
      <c r="D219" s="25"/>
      <c r="E219" s="64"/>
      <c r="F219" s="64"/>
      <c r="G219" s="25"/>
      <c r="H219" s="25"/>
      <c r="I219" s="25"/>
      <c r="J219" s="25"/>
    </row>
    <row r="220" spans="2:10">
      <c r="B220" s="25"/>
      <c r="C220" s="25"/>
      <c r="D220" s="25"/>
      <c r="E220" s="64"/>
      <c r="F220" s="64"/>
      <c r="G220" s="25"/>
      <c r="H220" s="25"/>
      <c r="I220" s="25"/>
      <c r="J220" s="25"/>
    </row>
    <row r="221" spans="2:10">
      <c r="B221" s="25"/>
      <c r="C221" s="25"/>
      <c r="D221" s="25"/>
      <c r="E221" s="64"/>
      <c r="F221" s="64"/>
      <c r="G221" s="25"/>
      <c r="H221" s="25"/>
      <c r="I221" s="25"/>
      <c r="J221" s="25"/>
    </row>
    <row r="222" spans="2:10">
      <c r="B222" s="25"/>
      <c r="C222" s="25"/>
      <c r="D222" s="25"/>
      <c r="E222" s="64"/>
      <c r="F222" s="64"/>
      <c r="G222" s="25"/>
      <c r="H222" s="25"/>
      <c r="I222" s="25"/>
      <c r="J222" s="25"/>
    </row>
    <row r="223" spans="2:10">
      <c r="B223" s="25"/>
      <c r="C223" s="25"/>
      <c r="D223" s="25"/>
      <c r="E223" s="64"/>
      <c r="F223" s="64"/>
      <c r="G223" s="25"/>
      <c r="H223" s="25"/>
      <c r="I223" s="25"/>
      <c r="J223" s="25"/>
    </row>
    <row r="224" spans="2:10">
      <c r="B224" s="25"/>
      <c r="C224" s="25"/>
      <c r="D224" s="25"/>
      <c r="E224" s="64"/>
      <c r="F224" s="64"/>
      <c r="G224" s="25"/>
      <c r="H224" s="25"/>
      <c r="I224" s="25"/>
      <c r="J224" s="25"/>
    </row>
    <row r="225" spans="2:10">
      <c r="B225" s="25"/>
      <c r="C225" s="25"/>
      <c r="D225" s="25"/>
      <c r="E225" s="64"/>
      <c r="F225" s="64"/>
      <c r="G225" s="25"/>
      <c r="H225" s="25"/>
      <c r="I225" s="25"/>
      <c r="J225" s="25"/>
    </row>
    <row r="226" spans="2:10">
      <c r="B226" s="25"/>
      <c r="C226" s="25"/>
      <c r="D226" s="25"/>
      <c r="E226" s="64"/>
      <c r="F226" s="64"/>
      <c r="G226" s="25"/>
      <c r="H226" s="25"/>
      <c r="I226" s="25"/>
      <c r="J226" s="25"/>
    </row>
    <row r="227" spans="2:10">
      <c r="B227" s="25"/>
      <c r="C227" s="25"/>
      <c r="D227" s="25"/>
      <c r="E227" s="64"/>
      <c r="F227" s="64"/>
      <c r="G227" s="25"/>
      <c r="H227" s="25"/>
      <c r="I227" s="25"/>
      <c r="J227" s="25"/>
    </row>
    <row r="228" spans="2:10">
      <c r="B228" s="25"/>
      <c r="C228" s="25"/>
      <c r="D228" s="25"/>
      <c r="E228" s="64"/>
      <c r="F228" s="64"/>
      <c r="G228" s="25"/>
      <c r="H228" s="25"/>
      <c r="I228" s="25"/>
      <c r="J228" s="25"/>
    </row>
    <row r="229" spans="2:10">
      <c r="B229" s="25"/>
      <c r="C229" s="25"/>
      <c r="D229" s="25"/>
      <c r="E229" s="64"/>
      <c r="F229" s="64"/>
      <c r="G229" s="25"/>
      <c r="H229" s="25"/>
      <c r="I229" s="25"/>
      <c r="J229" s="25"/>
    </row>
    <row r="230" spans="2:10">
      <c r="B230" s="25"/>
      <c r="C230" s="25"/>
      <c r="D230" s="25"/>
      <c r="E230" s="64"/>
      <c r="F230" s="64"/>
      <c r="G230" s="25"/>
      <c r="H230" s="25"/>
      <c r="I230" s="25"/>
      <c r="J230" s="25"/>
    </row>
    <row r="231" spans="2:10">
      <c r="B231" s="25"/>
      <c r="C231" s="25"/>
      <c r="D231" s="25"/>
      <c r="E231" s="64"/>
      <c r="F231" s="64"/>
      <c r="G231" s="25"/>
      <c r="H231" s="25"/>
      <c r="I231" s="25"/>
      <c r="J231" s="25"/>
    </row>
    <row r="232" spans="2:10">
      <c r="B232" s="25"/>
      <c r="C232" s="25"/>
      <c r="D232" s="25"/>
      <c r="E232" s="64"/>
      <c r="F232" s="64"/>
      <c r="G232" s="25"/>
      <c r="H232" s="25"/>
      <c r="I232" s="25"/>
      <c r="J232" s="25"/>
    </row>
    <row r="233" spans="2:10">
      <c r="B233" s="25"/>
      <c r="C233" s="25"/>
      <c r="D233" s="25"/>
      <c r="E233" s="64"/>
      <c r="F233" s="64"/>
      <c r="G233" s="25"/>
      <c r="H233" s="25"/>
      <c r="I233" s="25"/>
      <c r="J233" s="25"/>
    </row>
    <row r="234" spans="2:10">
      <c r="B234" s="25"/>
      <c r="C234" s="25"/>
      <c r="D234" s="25"/>
      <c r="E234" s="64"/>
      <c r="F234" s="64"/>
      <c r="G234" s="25"/>
      <c r="H234" s="25"/>
      <c r="I234" s="25"/>
      <c r="J234" s="25"/>
    </row>
    <row r="235" spans="2:10">
      <c r="B235" s="25"/>
      <c r="C235" s="25"/>
      <c r="D235" s="25"/>
      <c r="E235" s="64"/>
      <c r="F235" s="64"/>
      <c r="G235" s="25"/>
      <c r="H235" s="25"/>
      <c r="I235" s="25"/>
      <c r="J235" s="25"/>
    </row>
    <row r="236" spans="2:10">
      <c r="B236" s="25"/>
      <c r="C236" s="25"/>
      <c r="D236" s="25"/>
      <c r="E236" s="64"/>
      <c r="F236" s="64"/>
      <c r="G236" s="25"/>
      <c r="H236" s="25"/>
      <c r="I236" s="25"/>
      <c r="J236" s="25"/>
    </row>
    <row r="237" spans="2:10">
      <c r="B237" s="25"/>
      <c r="C237" s="25"/>
      <c r="D237" s="25"/>
      <c r="E237" s="64"/>
      <c r="F237" s="64"/>
      <c r="G237" s="25"/>
      <c r="H237" s="25"/>
      <c r="I237" s="25"/>
      <c r="J237" s="25"/>
    </row>
    <row r="238" spans="2:10">
      <c r="B238" s="25"/>
      <c r="C238" s="25"/>
      <c r="D238" s="25"/>
      <c r="E238" s="64"/>
      <c r="F238" s="64"/>
      <c r="G238" s="25"/>
      <c r="H238" s="25"/>
      <c r="I238" s="25"/>
      <c r="J238" s="25"/>
    </row>
    <row r="239" spans="2:10">
      <c r="B239" s="25"/>
      <c r="C239" s="25"/>
      <c r="D239" s="25"/>
      <c r="E239" s="64"/>
      <c r="F239" s="64"/>
      <c r="G239" s="25"/>
      <c r="H239" s="25"/>
      <c r="I239" s="25"/>
      <c r="J239" s="25"/>
    </row>
    <row r="240" spans="2:10">
      <c r="B240" s="25"/>
      <c r="C240" s="25"/>
      <c r="D240" s="25"/>
      <c r="E240" s="64"/>
      <c r="F240" s="64"/>
      <c r="G240" s="25"/>
      <c r="H240" s="25"/>
      <c r="I240" s="25"/>
      <c r="J240" s="25"/>
    </row>
    <row r="241" spans="2:10">
      <c r="B241" s="25"/>
      <c r="C241" s="25"/>
      <c r="D241" s="25"/>
      <c r="E241" s="64"/>
      <c r="F241" s="64"/>
      <c r="G241" s="25"/>
      <c r="H241" s="25"/>
      <c r="I241" s="25"/>
      <c r="J241" s="25"/>
    </row>
    <row r="242" spans="2:10">
      <c r="B242" s="25"/>
      <c r="C242" s="25"/>
      <c r="D242" s="25"/>
      <c r="E242" s="64"/>
      <c r="F242" s="64"/>
      <c r="G242" s="25"/>
      <c r="H242" s="25"/>
      <c r="I242" s="25"/>
      <c r="J242" s="25"/>
    </row>
    <row r="243" spans="2:10">
      <c r="B243" s="25"/>
      <c r="C243" s="25"/>
      <c r="D243" s="25"/>
      <c r="E243" s="64"/>
      <c r="F243" s="64"/>
      <c r="G243" s="25"/>
      <c r="H243" s="25"/>
      <c r="I243" s="25"/>
      <c r="J243" s="25"/>
    </row>
    <row r="244" spans="2:10">
      <c r="B244" s="25"/>
      <c r="C244" s="25"/>
      <c r="D244" s="25"/>
      <c r="E244" s="64"/>
      <c r="F244" s="64"/>
      <c r="G244" s="25"/>
      <c r="H244" s="25"/>
      <c r="I244" s="25"/>
      <c r="J244" s="25"/>
    </row>
    <row r="245" spans="2:10">
      <c r="B245" s="25"/>
      <c r="C245" s="25"/>
      <c r="D245" s="25"/>
      <c r="E245" s="64"/>
      <c r="F245" s="64"/>
      <c r="G245" s="25"/>
      <c r="H245" s="25"/>
      <c r="I245" s="25"/>
      <c r="J245" s="25"/>
    </row>
    <row r="246" spans="2:10">
      <c r="B246" s="25"/>
      <c r="C246" s="25"/>
      <c r="D246" s="25"/>
      <c r="E246" s="64"/>
      <c r="F246" s="64"/>
      <c r="G246" s="25"/>
      <c r="H246" s="25"/>
      <c r="I246" s="25"/>
      <c r="J246" s="25"/>
    </row>
    <row r="247" spans="2:10">
      <c r="B247" s="25"/>
      <c r="C247" s="25"/>
      <c r="D247" s="25"/>
      <c r="E247" s="64"/>
      <c r="F247" s="64"/>
      <c r="G247" s="25"/>
      <c r="H247" s="25"/>
      <c r="I247" s="25"/>
      <c r="J247" s="25"/>
    </row>
    <row r="248" spans="2:10">
      <c r="B248" s="25"/>
      <c r="C248" s="25"/>
      <c r="D248" s="25"/>
      <c r="E248" s="64"/>
      <c r="F248" s="64"/>
      <c r="G248" s="25"/>
      <c r="H248" s="25"/>
      <c r="I248" s="25"/>
      <c r="J248" s="25"/>
    </row>
    <row r="249" spans="2:10">
      <c r="B249" s="25"/>
      <c r="C249" s="25"/>
      <c r="D249" s="25"/>
      <c r="E249" s="64"/>
      <c r="F249" s="64"/>
      <c r="G249" s="25"/>
      <c r="H249" s="25"/>
      <c r="I249" s="25"/>
      <c r="J249" s="25"/>
    </row>
    <row r="250" spans="2:10">
      <c r="B250" s="25"/>
      <c r="C250" s="25"/>
      <c r="D250" s="25"/>
      <c r="E250" s="64"/>
      <c r="F250" s="64"/>
      <c r="G250" s="25"/>
      <c r="H250" s="25"/>
      <c r="I250" s="25"/>
      <c r="J250" s="25"/>
    </row>
    <row r="251" spans="2:10">
      <c r="B251" s="25"/>
      <c r="C251" s="25"/>
      <c r="D251" s="25"/>
      <c r="E251" s="64"/>
      <c r="F251" s="64"/>
      <c r="G251" s="25"/>
      <c r="H251" s="25"/>
      <c r="I251" s="25"/>
      <c r="J251" s="25"/>
    </row>
    <row r="252" spans="2:10">
      <c r="B252" s="25"/>
      <c r="C252" s="25"/>
      <c r="D252" s="25"/>
      <c r="E252" s="64"/>
      <c r="F252" s="64"/>
      <c r="G252" s="25"/>
      <c r="H252" s="25"/>
      <c r="I252" s="25"/>
      <c r="J252" s="25"/>
    </row>
    <row r="253" spans="2:10">
      <c r="B253" s="25"/>
      <c r="C253" s="25"/>
      <c r="D253" s="25"/>
      <c r="E253" s="64"/>
      <c r="F253" s="64"/>
      <c r="G253" s="25"/>
      <c r="H253" s="25"/>
      <c r="I253" s="25"/>
      <c r="J253" s="25"/>
    </row>
    <row r="254" spans="2:10">
      <c r="B254" s="25"/>
      <c r="C254" s="25"/>
      <c r="D254" s="25"/>
      <c r="E254" s="64"/>
      <c r="F254" s="64"/>
      <c r="G254" s="25"/>
      <c r="H254" s="25"/>
      <c r="I254" s="25"/>
      <c r="J254" s="25"/>
    </row>
    <row r="255" spans="2:10">
      <c r="B255" s="25"/>
      <c r="C255" s="25"/>
      <c r="D255" s="25"/>
      <c r="E255" s="64"/>
      <c r="F255" s="64"/>
      <c r="G255" s="25"/>
      <c r="H255" s="25"/>
      <c r="I255" s="25"/>
      <c r="J255" s="25"/>
    </row>
    <row r="256" spans="2:10">
      <c r="B256" s="25"/>
      <c r="C256" s="25"/>
      <c r="D256" s="25"/>
      <c r="E256" s="64"/>
      <c r="F256" s="64"/>
      <c r="G256" s="25"/>
      <c r="H256" s="25"/>
      <c r="I256" s="25"/>
      <c r="J256" s="25"/>
    </row>
    <row r="257" spans="2:10">
      <c r="B257" s="25"/>
      <c r="C257" s="25"/>
      <c r="D257" s="25"/>
      <c r="E257" s="64"/>
      <c r="F257" s="64"/>
      <c r="G257" s="25"/>
      <c r="H257" s="25"/>
      <c r="I257" s="25"/>
      <c r="J257" s="25"/>
    </row>
    <row r="258" spans="2:10">
      <c r="B258" s="25"/>
      <c r="C258" s="25"/>
      <c r="D258" s="25"/>
      <c r="E258" s="64"/>
      <c r="F258" s="64"/>
      <c r="G258" s="25"/>
      <c r="H258" s="25"/>
      <c r="I258" s="25"/>
      <c r="J258" s="25"/>
    </row>
    <row r="259" spans="2:10">
      <c r="B259" s="25"/>
      <c r="C259" s="25"/>
      <c r="D259" s="25"/>
      <c r="E259" s="64"/>
      <c r="F259" s="64"/>
      <c r="G259" s="25"/>
      <c r="H259" s="25"/>
      <c r="I259" s="25"/>
      <c r="J259" s="25"/>
    </row>
    <row r="260" spans="2:10">
      <c r="B260" s="25"/>
      <c r="C260" s="25"/>
      <c r="D260" s="25"/>
      <c r="E260" s="64"/>
      <c r="F260" s="64"/>
      <c r="G260" s="25"/>
      <c r="H260" s="25"/>
      <c r="I260" s="25"/>
      <c r="J260" s="25"/>
    </row>
    <row r="261" spans="2:10">
      <c r="B261" s="25"/>
      <c r="C261" s="25"/>
      <c r="D261" s="25"/>
      <c r="E261" s="64"/>
      <c r="F261" s="64"/>
      <c r="G261" s="25"/>
      <c r="H261" s="25"/>
      <c r="I261" s="25"/>
      <c r="J261" s="25"/>
    </row>
    <row r="262" spans="2:10">
      <c r="B262" s="25"/>
      <c r="C262" s="25"/>
      <c r="D262" s="25"/>
      <c r="E262" s="64"/>
      <c r="F262" s="64"/>
      <c r="G262" s="25"/>
      <c r="H262" s="25"/>
      <c r="I262" s="25"/>
      <c r="J262" s="25"/>
    </row>
    <row r="263" spans="2:10">
      <c r="B263" s="25"/>
      <c r="C263" s="25"/>
      <c r="D263" s="25"/>
      <c r="E263" s="64"/>
      <c r="F263" s="64"/>
      <c r="G263" s="25"/>
      <c r="H263" s="25"/>
      <c r="I263" s="25"/>
      <c r="J263" s="25"/>
    </row>
    <row r="264" spans="2:10">
      <c r="B264" s="25"/>
      <c r="C264" s="25"/>
      <c r="D264" s="25"/>
      <c r="E264" s="64"/>
      <c r="F264" s="64"/>
      <c r="G264" s="25"/>
      <c r="H264" s="25"/>
      <c r="I264" s="25"/>
      <c r="J264" s="25"/>
    </row>
    <row r="265" spans="2:10">
      <c r="B265" s="25"/>
      <c r="C265" s="25"/>
      <c r="D265" s="25"/>
      <c r="E265" s="64"/>
      <c r="F265" s="64"/>
      <c r="G265" s="25"/>
      <c r="H265" s="25"/>
      <c r="I265" s="25"/>
      <c r="J265" s="25"/>
    </row>
    <row r="266" spans="2:10">
      <c r="B266" s="25"/>
      <c r="C266" s="25"/>
      <c r="D266" s="25"/>
      <c r="E266" s="64"/>
      <c r="F266" s="64"/>
      <c r="G266" s="25"/>
      <c r="H266" s="25"/>
      <c r="I266" s="25"/>
      <c r="J266" s="25"/>
    </row>
    <row r="267" spans="2:10">
      <c r="B267" s="25"/>
      <c r="C267" s="25"/>
      <c r="D267" s="25"/>
      <c r="E267" s="64"/>
      <c r="F267" s="64"/>
      <c r="G267" s="25"/>
      <c r="H267" s="25"/>
      <c r="I267" s="25"/>
      <c r="J267" s="25"/>
    </row>
    <row r="268" spans="2:10">
      <c r="B268" s="25"/>
      <c r="C268" s="25"/>
      <c r="D268" s="25"/>
      <c r="E268" s="64"/>
      <c r="F268" s="64"/>
      <c r="G268" s="25"/>
      <c r="H268" s="25"/>
      <c r="I268" s="25"/>
      <c r="J268" s="25"/>
    </row>
    <row r="269" spans="2:10">
      <c r="B269" s="25"/>
      <c r="C269" s="25"/>
      <c r="D269" s="25"/>
      <c r="E269" s="64"/>
      <c r="F269" s="64"/>
      <c r="G269" s="25"/>
      <c r="H269" s="25"/>
      <c r="I269" s="25"/>
      <c r="J269" s="25"/>
    </row>
    <row r="270" spans="2:10">
      <c r="B270" s="25"/>
      <c r="C270" s="25"/>
      <c r="D270" s="25"/>
      <c r="E270" s="64"/>
      <c r="F270" s="64"/>
      <c r="G270" s="25"/>
      <c r="H270" s="25"/>
      <c r="I270" s="25"/>
      <c r="J270" s="25"/>
    </row>
    <row r="271" spans="2:10">
      <c r="B271" s="25"/>
      <c r="C271" s="25"/>
      <c r="D271" s="25"/>
      <c r="E271" s="64"/>
      <c r="F271" s="64"/>
      <c r="G271" s="25"/>
      <c r="H271" s="25"/>
      <c r="I271" s="25"/>
      <c r="J271" s="25"/>
    </row>
    <row r="272" spans="2:10">
      <c r="B272" s="25"/>
      <c r="C272" s="25"/>
      <c r="D272" s="25"/>
      <c r="E272" s="64"/>
      <c r="F272" s="64"/>
      <c r="G272" s="25"/>
      <c r="H272" s="25"/>
      <c r="I272" s="25"/>
      <c r="J272" s="25"/>
    </row>
    <row r="273" spans="2:10">
      <c r="B273" s="25"/>
      <c r="C273" s="25"/>
      <c r="D273" s="25"/>
      <c r="E273" s="64"/>
      <c r="F273" s="64"/>
      <c r="G273" s="25"/>
      <c r="H273" s="25"/>
      <c r="I273" s="25"/>
      <c r="J273" s="25"/>
    </row>
    <row r="274" spans="2:10">
      <c r="B274" s="25"/>
      <c r="C274" s="25"/>
      <c r="D274" s="25"/>
      <c r="E274" s="64"/>
      <c r="F274" s="64"/>
      <c r="G274" s="25"/>
      <c r="H274" s="25"/>
      <c r="I274" s="25"/>
      <c r="J274" s="25"/>
    </row>
    <row r="275" spans="2:10">
      <c r="B275" s="25"/>
      <c r="C275" s="25"/>
      <c r="D275" s="25"/>
      <c r="E275" s="64"/>
      <c r="F275" s="64"/>
      <c r="G275" s="25"/>
      <c r="H275" s="25"/>
      <c r="I275" s="25"/>
      <c r="J275" s="25"/>
    </row>
    <row r="276" spans="2:10">
      <c r="B276" s="25"/>
      <c r="C276" s="25"/>
      <c r="D276" s="25"/>
      <c r="E276" s="64"/>
      <c r="F276" s="64"/>
      <c r="G276" s="25"/>
      <c r="H276" s="25"/>
      <c r="I276" s="25"/>
      <c r="J276" s="25"/>
    </row>
    <row r="277" spans="2:10">
      <c r="B277" s="25"/>
      <c r="C277" s="25"/>
      <c r="D277" s="25"/>
      <c r="E277" s="64"/>
      <c r="F277" s="64"/>
      <c r="G277" s="25"/>
      <c r="H277" s="25"/>
      <c r="I277" s="25"/>
      <c r="J277" s="25"/>
    </row>
    <row r="278" spans="2:10">
      <c r="B278" s="25"/>
      <c r="C278" s="25"/>
      <c r="D278" s="25"/>
      <c r="E278" s="64"/>
      <c r="F278" s="64"/>
      <c r="G278" s="25"/>
      <c r="H278" s="25"/>
      <c r="I278" s="25"/>
      <c r="J278" s="25"/>
    </row>
    <row r="279" spans="2:10">
      <c r="B279" s="25"/>
      <c r="C279" s="25"/>
      <c r="D279" s="25"/>
      <c r="E279" s="64"/>
      <c r="F279" s="64"/>
      <c r="G279" s="25"/>
      <c r="H279" s="25"/>
      <c r="I279" s="25"/>
      <c r="J279" s="25"/>
    </row>
    <row r="280" spans="2:10">
      <c r="B280" s="25"/>
      <c r="C280" s="25"/>
      <c r="D280" s="25"/>
      <c r="E280" s="64"/>
      <c r="F280" s="64"/>
      <c r="G280" s="25"/>
      <c r="H280" s="25"/>
      <c r="I280" s="25"/>
      <c r="J280" s="25"/>
    </row>
    <row r="281" spans="2:10">
      <c r="B281" s="25"/>
      <c r="C281" s="25"/>
      <c r="D281" s="25"/>
      <c r="E281" s="64"/>
      <c r="F281" s="64"/>
      <c r="G281" s="25"/>
      <c r="H281" s="25"/>
      <c r="I281" s="25"/>
      <c r="J281" s="25"/>
    </row>
    <row r="282" spans="2:10">
      <c r="B282" s="25"/>
      <c r="C282" s="25"/>
      <c r="D282" s="25"/>
      <c r="E282" s="64"/>
      <c r="F282" s="64"/>
      <c r="G282" s="25"/>
      <c r="H282" s="25"/>
      <c r="I282" s="25"/>
      <c r="J282" s="25"/>
    </row>
    <row r="283" spans="2:10">
      <c r="B283" s="25"/>
      <c r="C283" s="25"/>
      <c r="D283" s="25"/>
      <c r="E283" s="64"/>
      <c r="F283" s="64"/>
      <c r="G283" s="25"/>
      <c r="H283" s="25"/>
      <c r="I283" s="25"/>
      <c r="J283" s="25"/>
    </row>
    <row r="284" spans="2:10">
      <c r="B284" s="25"/>
      <c r="C284" s="25"/>
      <c r="D284" s="25"/>
      <c r="E284" s="64"/>
      <c r="F284" s="64"/>
      <c r="G284" s="25"/>
      <c r="H284" s="25"/>
      <c r="I284" s="25"/>
      <c r="J284" s="25"/>
    </row>
    <row r="285" spans="2:10">
      <c r="B285" s="25"/>
      <c r="C285" s="25"/>
      <c r="D285" s="25"/>
      <c r="E285" s="64"/>
      <c r="F285" s="64"/>
      <c r="G285" s="25"/>
      <c r="H285" s="25"/>
      <c r="I285" s="25"/>
      <c r="J285" s="25"/>
    </row>
    <row r="286" spans="2:10">
      <c r="B286" s="25"/>
      <c r="C286" s="25"/>
      <c r="D286" s="25"/>
      <c r="E286" s="64"/>
      <c r="F286" s="64"/>
      <c r="G286" s="25"/>
      <c r="H286" s="25"/>
      <c r="I286" s="25"/>
      <c r="J286" s="25"/>
    </row>
    <row r="287" spans="2:10">
      <c r="B287" s="25"/>
      <c r="C287" s="25"/>
      <c r="D287" s="25"/>
      <c r="E287" s="64"/>
      <c r="F287" s="64"/>
      <c r="G287" s="25"/>
      <c r="H287" s="25"/>
      <c r="I287" s="25"/>
      <c r="J287" s="25"/>
    </row>
    <row r="288" spans="2:10">
      <c r="B288" s="25"/>
      <c r="C288" s="25"/>
      <c r="D288" s="25"/>
      <c r="E288" s="64"/>
      <c r="F288" s="64"/>
      <c r="G288" s="25"/>
      <c r="H288" s="25"/>
      <c r="I288" s="25"/>
      <c r="J288" s="25"/>
    </row>
    <row r="289" spans="2:10">
      <c r="B289" s="25"/>
      <c r="C289" s="25"/>
      <c r="D289" s="25"/>
      <c r="E289" s="64"/>
      <c r="F289" s="64"/>
      <c r="G289" s="25"/>
      <c r="H289" s="25"/>
      <c r="I289" s="25"/>
      <c r="J289" s="25"/>
    </row>
    <row r="290" spans="2:10">
      <c r="B290" s="25"/>
      <c r="C290" s="25"/>
      <c r="D290" s="25"/>
      <c r="E290" s="64"/>
      <c r="F290" s="64"/>
      <c r="G290" s="25"/>
      <c r="H290" s="25"/>
      <c r="I290" s="25"/>
      <c r="J290" s="25"/>
    </row>
    <row r="291" spans="2:10">
      <c r="B291" s="25"/>
      <c r="C291" s="25"/>
      <c r="D291" s="25"/>
      <c r="E291" s="64"/>
      <c r="F291" s="64"/>
      <c r="G291" s="25"/>
      <c r="H291" s="25"/>
      <c r="I291" s="25"/>
      <c r="J291" s="25"/>
    </row>
    <row r="292" spans="2:10">
      <c r="B292" s="25"/>
      <c r="C292" s="25"/>
      <c r="D292" s="25"/>
      <c r="E292" s="64"/>
      <c r="F292" s="64"/>
      <c r="G292" s="25"/>
      <c r="H292" s="25"/>
      <c r="I292" s="25"/>
      <c r="J292" s="25"/>
    </row>
    <row r="293" spans="2:10">
      <c r="B293" s="25"/>
      <c r="C293" s="25"/>
      <c r="D293" s="25"/>
      <c r="E293" s="64"/>
      <c r="F293" s="64"/>
      <c r="G293" s="25"/>
      <c r="H293" s="25"/>
      <c r="I293" s="25"/>
      <c r="J293" s="25"/>
    </row>
    <row r="294" spans="2:10">
      <c r="B294" s="25"/>
      <c r="C294" s="25"/>
      <c r="D294" s="25"/>
      <c r="E294" s="64"/>
      <c r="F294" s="64"/>
      <c r="G294" s="25"/>
      <c r="H294" s="25"/>
      <c r="I294" s="25"/>
      <c r="J294" s="25"/>
    </row>
    <row r="295" spans="2:10">
      <c r="B295" s="25"/>
      <c r="C295" s="25"/>
      <c r="D295" s="25"/>
      <c r="E295" s="64"/>
      <c r="F295" s="64"/>
      <c r="G295" s="25"/>
      <c r="H295" s="25"/>
      <c r="I295" s="25"/>
      <c r="J295" s="25"/>
    </row>
    <row r="296" spans="2:10">
      <c r="B296" s="25"/>
      <c r="C296" s="25"/>
      <c r="D296" s="25"/>
      <c r="E296" s="64"/>
      <c r="F296" s="64"/>
      <c r="G296" s="25"/>
      <c r="H296" s="25"/>
      <c r="I296" s="25"/>
      <c r="J296" s="25"/>
    </row>
    <row r="297" spans="2:10">
      <c r="B297" s="25"/>
      <c r="C297" s="25"/>
      <c r="D297" s="25"/>
      <c r="E297" s="64"/>
      <c r="F297" s="64"/>
      <c r="G297" s="25"/>
      <c r="H297" s="25"/>
      <c r="I297" s="25"/>
      <c r="J297" s="25"/>
    </row>
    <row r="298" spans="2:10">
      <c r="B298" s="25"/>
      <c r="C298" s="25"/>
      <c r="D298" s="25"/>
      <c r="E298" s="64"/>
      <c r="F298" s="64"/>
      <c r="G298" s="25"/>
      <c r="H298" s="25"/>
      <c r="I298" s="25"/>
      <c r="J298" s="25"/>
    </row>
    <row r="299" spans="2:10">
      <c r="B299" s="25"/>
      <c r="C299" s="25"/>
      <c r="D299" s="25"/>
      <c r="E299" s="64"/>
      <c r="F299" s="64"/>
      <c r="G299" s="25"/>
      <c r="H299" s="25"/>
      <c r="I299" s="25"/>
      <c r="J299" s="25"/>
    </row>
    <row r="300" spans="2:10">
      <c r="B300" s="25"/>
      <c r="C300" s="25"/>
      <c r="D300" s="25"/>
      <c r="E300" s="64"/>
      <c r="F300" s="64"/>
      <c r="G300" s="25"/>
      <c r="H300" s="25"/>
      <c r="I300" s="25"/>
      <c r="J300" s="25"/>
    </row>
    <row r="301" spans="2:10">
      <c r="B301" s="25"/>
      <c r="C301" s="25"/>
      <c r="D301" s="25"/>
      <c r="E301" s="64"/>
      <c r="F301" s="64"/>
      <c r="G301" s="25"/>
      <c r="H301" s="25"/>
      <c r="I301" s="25"/>
      <c r="J301" s="25"/>
    </row>
    <row r="302" spans="2:10">
      <c r="B302" s="25"/>
      <c r="C302" s="25"/>
      <c r="D302" s="25"/>
      <c r="E302" s="64"/>
      <c r="F302" s="64"/>
      <c r="G302" s="25"/>
      <c r="H302" s="25"/>
      <c r="I302" s="25"/>
      <c r="J302" s="25"/>
    </row>
    <row r="303" spans="2:10">
      <c r="B303" s="25"/>
      <c r="C303" s="25"/>
      <c r="D303" s="25"/>
      <c r="E303" s="64"/>
      <c r="F303" s="64"/>
      <c r="G303" s="25"/>
      <c r="H303" s="25"/>
      <c r="I303" s="25"/>
      <c r="J303" s="25"/>
    </row>
    <row r="304" spans="2:10">
      <c r="B304" s="25"/>
      <c r="C304" s="25"/>
      <c r="D304" s="25"/>
      <c r="E304" s="64"/>
      <c r="F304" s="64"/>
      <c r="G304" s="25"/>
      <c r="H304" s="25"/>
      <c r="I304" s="25"/>
      <c r="J304" s="25"/>
    </row>
    <row r="305" spans="2:10">
      <c r="B305" s="25"/>
      <c r="C305" s="25"/>
      <c r="D305" s="25"/>
      <c r="E305" s="64"/>
      <c r="F305" s="64"/>
      <c r="G305" s="25"/>
      <c r="H305" s="25"/>
      <c r="I305" s="25"/>
      <c r="J305" s="25"/>
    </row>
    <row r="306" spans="2:10">
      <c r="B306" s="25"/>
      <c r="C306" s="25"/>
      <c r="D306" s="25"/>
      <c r="E306" s="64"/>
      <c r="F306" s="64"/>
      <c r="G306" s="25"/>
      <c r="H306" s="25"/>
      <c r="I306" s="25"/>
      <c r="J306" s="25"/>
    </row>
    <row r="307" spans="2:10">
      <c r="B307" s="25"/>
      <c r="C307" s="25"/>
      <c r="D307" s="25"/>
      <c r="E307" s="64"/>
      <c r="F307" s="64"/>
      <c r="G307" s="25"/>
      <c r="H307" s="25"/>
      <c r="I307" s="25"/>
      <c r="J307" s="25"/>
    </row>
    <row r="308" spans="2:10">
      <c r="B308" s="25"/>
      <c r="C308" s="25"/>
      <c r="D308" s="25"/>
      <c r="E308" s="64"/>
      <c r="F308" s="64"/>
      <c r="G308" s="25"/>
      <c r="H308" s="25"/>
      <c r="I308" s="25"/>
      <c r="J308" s="25"/>
    </row>
    <row r="309" spans="2:10">
      <c r="B309" s="25"/>
      <c r="C309" s="25"/>
      <c r="D309" s="25"/>
      <c r="E309" s="64"/>
      <c r="F309" s="64"/>
      <c r="G309" s="25"/>
      <c r="H309" s="25"/>
      <c r="I309" s="25"/>
      <c r="J309" s="25"/>
    </row>
    <row r="310" spans="2:10">
      <c r="B310" s="25"/>
      <c r="C310" s="25"/>
      <c r="D310" s="25"/>
      <c r="E310" s="64"/>
      <c r="F310" s="64"/>
      <c r="G310" s="25"/>
      <c r="H310" s="25"/>
      <c r="I310" s="25"/>
      <c r="J310" s="25"/>
    </row>
    <row r="311" spans="2:10">
      <c r="B311" s="25"/>
      <c r="C311" s="25"/>
      <c r="D311" s="25"/>
      <c r="E311" s="64"/>
      <c r="F311" s="64"/>
      <c r="G311" s="25"/>
      <c r="H311" s="25"/>
      <c r="I311" s="25"/>
      <c r="J311" s="25"/>
    </row>
    <row r="312" spans="2:10">
      <c r="B312" s="25"/>
      <c r="C312" s="25"/>
      <c r="D312" s="25"/>
      <c r="E312" s="64"/>
      <c r="F312" s="64"/>
      <c r="G312" s="25"/>
      <c r="H312" s="25"/>
      <c r="I312" s="25"/>
      <c r="J312" s="25"/>
    </row>
    <row r="313" spans="2:10">
      <c r="B313" s="25"/>
      <c r="C313" s="25"/>
      <c r="D313" s="25"/>
      <c r="E313" s="64"/>
      <c r="F313" s="64"/>
      <c r="G313" s="25"/>
      <c r="H313" s="25"/>
      <c r="I313" s="25"/>
      <c r="J313" s="25"/>
    </row>
    <row r="314" spans="2:10">
      <c r="B314" s="25"/>
      <c r="C314" s="25"/>
      <c r="D314" s="25"/>
      <c r="E314" s="64"/>
      <c r="F314" s="64"/>
      <c r="G314" s="25"/>
      <c r="H314" s="25"/>
      <c r="I314" s="25"/>
      <c r="J314" s="25"/>
    </row>
    <row r="315" spans="2:10">
      <c r="B315" s="25"/>
      <c r="C315" s="25"/>
      <c r="D315" s="25"/>
      <c r="E315" s="64"/>
      <c r="F315" s="64"/>
      <c r="G315" s="25"/>
      <c r="H315" s="25"/>
      <c r="I315" s="25"/>
      <c r="J315" s="25"/>
    </row>
    <row r="316" spans="2:10">
      <c r="B316" s="25"/>
      <c r="C316" s="25"/>
      <c r="D316" s="25"/>
      <c r="E316" s="64"/>
      <c r="F316" s="64"/>
      <c r="G316" s="25"/>
      <c r="H316" s="25"/>
      <c r="I316" s="25"/>
      <c r="J316" s="25"/>
    </row>
    <row r="317" spans="2:10">
      <c r="B317" s="25"/>
      <c r="C317" s="25"/>
      <c r="D317" s="25"/>
      <c r="E317" s="64"/>
      <c r="F317" s="64"/>
      <c r="G317" s="25"/>
      <c r="H317" s="25"/>
      <c r="I317" s="25"/>
      <c r="J317" s="25"/>
    </row>
    <row r="318" spans="2:10">
      <c r="B318" s="25"/>
      <c r="C318" s="25"/>
      <c r="D318" s="25"/>
      <c r="E318" s="64"/>
      <c r="F318" s="64"/>
      <c r="G318" s="25"/>
      <c r="H318" s="25"/>
      <c r="I318" s="25"/>
      <c r="J318" s="25"/>
    </row>
    <row r="319" spans="2:10">
      <c r="B319" s="25"/>
      <c r="C319" s="25"/>
      <c r="D319" s="25"/>
      <c r="E319" s="64"/>
      <c r="F319" s="64"/>
      <c r="G319" s="25"/>
      <c r="H319" s="25"/>
      <c r="I319" s="25"/>
      <c r="J319" s="25"/>
    </row>
    <row r="320" spans="2:10">
      <c r="B320" s="25"/>
      <c r="C320" s="25"/>
      <c r="D320" s="25"/>
      <c r="E320" s="64"/>
      <c r="F320" s="64"/>
      <c r="G320" s="25"/>
      <c r="H320" s="25"/>
      <c r="I320" s="25"/>
      <c r="J320" s="25"/>
    </row>
    <row r="321" spans="2:10">
      <c r="B321" s="25"/>
      <c r="C321" s="25"/>
      <c r="D321" s="25"/>
      <c r="E321" s="64"/>
      <c r="F321" s="64"/>
      <c r="G321" s="25"/>
      <c r="H321" s="25"/>
      <c r="I321" s="25"/>
      <c r="J321" s="25"/>
    </row>
    <row r="322" spans="2:10">
      <c r="B322" s="25"/>
      <c r="C322" s="25"/>
      <c r="D322" s="25"/>
      <c r="E322" s="64"/>
      <c r="F322" s="64"/>
      <c r="G322" s="25"/>
      <c r="H322" s="25"/>
      <c r="I322" s="25"/>
      <c r="J322" s="25"/>
    </row>
    <row r="323" spans="2:10">
      <c r="B323" s="25"/>
      <c r="C323" s="25"/>
      <c r="D323" s="25"/>
      <c r="E323" s="64"/>
      <c r="F323" s="64"/>
      <c r="G323" s="25"/>
      <c r="H323" s="25"/>
      <c r="I323" s="25"/>
      <c r="J323" s="25"/>
    </row>
    <row r="324" spans="2:10">
      <c r="B324" s="25"/>
      <c r="C324" s="25"/>
      <c r="D324" s="25"/>
      <c r="E324" s="64"/>
      <c r="F324" s="64"/>
      <c r="G324" s="25"/>
      <c r="H324" s="25"/>
      <c r="I324" s="25"/>
      <c r="J324" s="25"/>
    </row>
    <row r="325" spans="2:10">
      <c r="B325" s="25"/>
      <c r="C325" s="25"/>
      <c r="D325" s="25"/>
      <c r="E325" s="64"/>
      <c r="F325" s="64"/>
      <c r="G325" s="25"/>
      <c r="H325" s="25"/>
      <c r="I325" s="25"/>
      <c r="J325" s="25"/>
    </row>
    <row r="326" spans="2:10">
      <c r="B326" s="25"/>
      <c r="C326" s="25"/>
      <c r="D326" s="25"/>
      <c r="E326" s="64"/>
      <c r="F326" s="64"/>
      <c r="G326" s="25"/>
      <c r="H326" s="25"/>
      <c r="I326" s="25"/>
      <c r="J326" s="25"/>
    </row>
    <row r="327" spans="2:10">
      <c r="B327" s="25"/>
      <c r="C327" s="25"/>
      <c r="D327" s="25"/>
      <c r="E327" s="64"/>
      <c r="F327" s="64"/>
      <c r="G327" s="25"/>
      <c r="H327" s="25"/>
      <c r="I327" s="25"/>
      <c r="J327" s="25"/>
    </row>
    <row r="328" spans="2:10">
      <c r="B328" s="25"/>
      <c r="C328" s="25"/>
      <c r="D328" s="25"/>
      <c r="E328" s="64"/>
      <c r="F328" s="64"/>
      <c r="G328" s="25"/>
      <c r="H328" s="25"/>
      <c r="I328" s="25"/>
      <c r="J328" s="25"/>
    </row>
    <row r="329" spans="2:10">
      <c r="B329" s="25"/>
      <c r="C329" s="25"/>
      <c r="D329" s="25"/>
      <c r="E329" s="64"/>
      <c r="F329" s="64"/>
      <c r="G329" s="25"/>
      <c r="H329" s="25"/>
      <c r="I329" s="25"/>
      <c r="J329" s="25"/>
    </row>
    <row r="330" spans="2:10">
      <c r="B330" s="25"/>
      <c r="C330" s="25"/>
      <c r="D330" s="25"/>
      <c r="E330" s="64"/>
      <c r="F330" s="64"/>
      <c r="G330" s="25"/>
      <c r="H330" s="25"/>
      <c r="I330" s="25"/>
      <c r="J330" s="25"/>
    </row>
    <row r="331" spans="2:10">
      <c r="B331" s="25"/>
      <c r="C331" s="25"/>
      <c r="D331" s="25"/>
      <c r="E331" s="64"/>
      <c r="F331" s="64"/>
      <c r="G331" s="25"/>
      <c r="H331" s="25"/>
      <c r="I331" s="25"/>
      <c r="J331" s="25"/>
    </row>
    <row r="332" spans="2:10">
      <c r="B332" s="25"/>
      <c r="C332" s="25"/>
      <c r="D332" s="25"/>
      <c r="E332" s="64"/>
      <c r="F332" s="64"/>
      <c r="G332" s="25"/>
      <c r="H332" s="25"/>
      <c r="I332" s="25"/>
      <c r="J332" s="25"/>
    </row>
    <row r="333" spans="2:10">
      <c r="B333" s="25"/>
      <c r="C333" s="25"/>
      <c r="D333" s="25"/>
      <c r="E333" s="64"/>
      <c r="F333" s="64"/>
      <c r="G333" s="25"/>
      <c r="H333" s="25"/>
      <c r="I333" s="25"/>
      <c r="J333" s="25"/>
    </row>
    <row r="334" spans="2:10">
      <c r="B334" s="25"/>
      <c r="C334" s="25"/>
      <c r="D334" s="25"/>
      <c r="E334" s="64"/>
      <c r="F334" s="64"/>
      <c r="G334" s="25"/>
      <c r="H334" s="25"/>
      <c r="I334" s="25"/>
      <c r="J334" s="25"/>
    </row>
    <row r="335" spans="2:10">
      <c r="B335" s="25"/>
      <c r="C335" s="25"/>
      <c r="D335" s="25"/>
      <c r="E335" s="64"/>
      <c r="F335" s="64"/>
      <c r="G335" s="25"/>
      <c r="H335" s="25"/>
      <c r="I335" s="25"/>
      <c r="J335" s="25"/>
    </row>
    <row r="336" spans="2:10">
      <c r="B336" s="25"/>
      <c r="C336" s="25"/>
      <c r="D336" s="25"/>
      <c r="E336" s="64"/>
      <c r="F336" s="64"/>
      <c r="G336" s="25"/>
      <c r="H336" s="25"/>
      <c r="I336" s="25"/>
      <c r="J336" s="25"/>
    </row>
    <row r="337" spans="2:10">
      <c r="B337" s="25"/>
      <c r="C337" s="25"/>
      <c r="D337" s="25"/>
      <c r="E337" s="64"/>
      <c r="F337" s="64"/>
      <c r="G337" s="25"/>
      <c r="H337" s="25"/>
      <c r="I337" s="25"/>
      <c r="J337" s="25"/>
    </row>
    <row r="338" spans="2:10">
      <c r="B338" s="25"/>
      <c r="C338" s="25"/>
      <c r="D338" s="25"/>
      <c r="E338" s="64"/>
      <c r="F338" s="64"/>
      <c r="G338" s="25"/>
      <c r="H338" s="25"/>
      <c r="I338" s="25"/>
      <c r="J338" s="25"/>
    </row>
    <row r="339" spans="2:10">
      <c r="B339" s="25"/>
      <c r="C339" s="25"/>
      <c r="D339" s="25"/>
      <c r="E339" s="64"/>
      <c r="F339" s="64"/>
      <c r="G339" s="25"/>
      <c r="H339" s="25"/>
      <c r="I339" s="25"/>
      <c r="J339" s="25"/>
    </row>
    <row r="340" spans="2:10">
      <c r="B340" s="25"/>
      <c r="C340" s="25"/>
      <c r="D340" s="25"/>
      <c r="E340" s="64"/>
      <c r="F340" s="64"/>
      <c r="G340" s="25"/>
      <c r="H340" s="25"/>
      <c r="I340" s="25"/>
      <c r="J340" s="25"/>
    </row>
    <row r="341" spans="2:10">
      <c r="B341" s="25"/>
      <c r="C341" s="25"/>
      <c r="D341" s="25"/>
      <c r="E341" s="64"/>
      <c r="F341" s="64"/>
      <c r="G341" s="25"/>
      <c r="H341" s="25"/>
      <c r="I341" s="25"/>
      <c r="J341" s="25"/>
    </row>
    <row r="342" spans="2:10">
      <c r="B342" s="25"/>
      <c r="C342" s="25"/>
      <c r="D342" s="25"/>
      <c r="E342" s="64"/>
      <c r="F342" s="64"/>
      <c r="G342" s="25"/>
      <c r="H342" s="25"/>
      <c r="I342" s="25"/>
      <c r="J342" s="25"/>
    </row>
    <row r="343" spans="2:10">
      <c r="B343" s="25"/>
      <c r="C343" s="25"/>
      <c r="D343" s="25"/>
      <c r="E343" s="64"/>
      <c r="F343" s="64"/>
      <c r="G343" s="25"/>
      <c r="H343" s="25"/>
      <c r="I343" s="25"/>
      <c r="J343" s="25"/>
    </row>
    <row r="344" spans="2:10">
      <c r="B344" s="25"/>
      <c r="C344" s="25"/>
      <c r="D344" s="25"/>
      <c r="E344" s="64"/>
      <c r="F344" s="64"/>
      <c r="G344" s="25"/>
      <c r="H344" s="25"/>
      <c r="I344" s="25"/>
      <c r="J344" s="25"/>
    </row>
    <row r="345" spans="2:10">
      <c r="B345" s="25"/>
      <c r="C345" s="25"/>
      <c r="D345" s="25"/>
      <c r="E345" s="64"/>
      <c r="F345" s="64"/>
      <c r="G345" s="25"/>
      <c r="H345" s="25"/>
      <c r="I345" s="25"/>
      <c r="J345" s="25"/>
    </row>
    <row r="346" spans="2:10">
      <c r="B346" s="25"/>
      <c r="C346" s="25"/>
      <c r="D346" s="25"/>
      <c r="E346" s="64"/>
      <c r="F346" s="64"/>
      <c r="G346" s="25"/>
      <c r="H346" s="25"/>
      <c r="I346" s="25"/>
      <c r="J346" s="25"/>
    </row>
    <row r="347" spans="2:10">
      <c r="B347" s="25"/>
      <c r="C347" s="25"/>
      <c r="D347" s="25"/>
      <c r="E347" s="64"/>
      <c r="F347" s="64"/>
      <c r="G347" s="25"/>
      <c r="H347" s="25"/>
      <c r="I347" s="25"/>
      <c r="J347" s="25"/>
    </row>
    <row r="348" spans="2:10">
      <c r="B348" s="25"/>
      <c r="C348" s="25"/>
      <c r="D348" s="25"/>
      <c r="E348" s="64"/>
      <c r="F348" s="64"/>
      <c r="G348" s="25"/>
      <c r="H348" s="25"/>
      <c r="I348" s="25"/>
      <c r="J348" s="25"/>
    </row>
    <row r="349" spans="2:10">
      <c r="B349" s="25"/>
      <c r="C349" s="25"/>
      <c r="D349" s="25"/>
      <c r="E349" s="64"/>
      <c r="F349" s="64"/>
      <c r="G349" s="25"/>
      <c r="H349" s="25"/>
      <c r="I349" s="25"/>
      <c r="J349" s="25"/>
    </row>
    <row r="350" spans="2:10">
      <c r="B350" s="25"/>
      <c r="C350" s="25"/>
      <c r="D350" s="25"/>
      <c r="E350" s="64"/>
      <c r="F350" s="64"/>
      <c r="G350" s="25"/>
      <c r="H350" s="25"/>
      <c r="I350" s="25"/>
      <c r="J350" s="25"/>
    </row>
    <row r="351" spans="2:10">
      <c r="B351" s="25"/>
      <c r="C351" s="25"/>
      <c r="D351" s="25"/>
      <c r="E351" s="64"/>
      <c r="F351" s="64"/>
      <c r="G351" s="25"/>
      <c r="H351" s="25"/>
      <c r="I351" s="25"/>
      <c r="J351" s="25"/>
    </row>
    <row r="352" spans="2:10">
      <c r="B352" s="25"/>
      <c r="C352" s="25"/>
      <c r="D352" s="25"/>
      <c r="E352" s="64"/>
      <c r="F352" s="64"/>
      <c r="G352" s="25"/>
      <c r="H352" s="25"/>
      <c r="I352" s="25"/>
      <c r="J352" s="25"/>
    </row>
    <row r="353" spans="2:10">
      <c r="B353" s="25"/>
      <c r="C353" s="25"/>
      <c r="D353" s="25"/>
      <c r="E353" s="64"/>
      <c r="F353" s="64"/>
      <c r="G353" s="25"/>
      <c r="H353" s="25"/>
      <c r="I353" s="25"/>
      <c r="J353" s="25"/>
    </row>
    <row r="354" spans="2:10">
      <c r="B354" s="25"/>
      <c r="C354" s="25"/>
      <c r="D354" s="25"/>
      <c r="E354" s="64"/>
      <c r="F354" s="64"/>
      <c r="G354" s="25"/>
      <c r="H354" s="25"/>
      <c r="I354" s="25"/>
      <c r="J354" s="25"/>
    </row>
    <row r="355" spans="2:10">
      <c r="B355" s="25"/>
      <c r="C355" s="25"/>
      <c r="D355" s="25"/>
      <c r="E355" s="64"/>
      <c r="F355" s="64"/>
      <c r="G355" s="25"/>
      <c r="H355" s="25"/>
      <c r="I355" s="25"/>
      <c r="J355" s="25"/>
    </row>
    <row r="356" spans="2:10">
      <c r="B356" s="25"/>
      <c r="C356" s="25"/>
      <c r="D356" s="25"/>
      <c r="E356" s="64"/>
      <c r="F356" s="64"/>
      <c r="G356" s="25"/>
      <c r="H356" s="25"/>
      <c r="I356" s="25"/>
      <c r="J356" s="25"/>
    </row>
    <row r="357" spans="2:10">
      <c r="B357" s="25"/>
      <c r="C357" s="25"/>
      <c r="D357" s="25"/>
      <c r="E357" s="64"/>
      <c r="F357" s="64"/>
      <c r="G357" s="25"/>
      <c r="H357" s="25"/>
      <c r="I357" s="25"/>
      <c r="J357" s="25"/>
    </row>
    <row r="358" spans="2:10">
      <c r="B358" s="25"/>
      <c r="C358" s="25"/>
      <c r="D358" s="25"/>
      <c r="E358" s="64"/>
      <c r="F358" s="64"/>
      <c r="G358" s="25"/>
      <c r="H358" s="25"/>
      <c r="I358" s="25"/>
      <c r="J358" s="25"/>
    </row>
    <row r="359" spans="2:10">
      <c r="B359" s="25"/>
      <c r="C359" s="25"/>
      <c r="D359" s="25"/>
      <c r="E359" s="64"/>
      <c r="F359" s="64"/>
      <c r="G359" s="25"/>
      <c r="H359" s="25"/>
      <c r="I359" s="25"/>
      <c r="J359" s="25"/>
    </row>
    <row r="360" spans="2:10">
      <c r="B360" s="25"/>
      <c r="C360" s="25"/>
      <c r="D360" s="25"/>
      <c r="E360" s="64"/>
      <c r="F360" s="64"/>
      <c r="G360" s="25"/>
      <c r="H360" s="25"/>
      <c r="I360" s="25"/>
      <c r="J360" s="25"/>
    </row>
    <row r="361" spans="2:10">
      <c r="B361" s="25"/>
      <c r="C361" s="25"/>
      <c r="D361" s="25"/>
      <c r="E361" s="64"/>
      <c r="F361" s="64"/>
      <c r="G361" s="25"/>
      <c r="H361" s="25"/>
      <c r="I361" s="25"/>
      <c r="J361" s="25"/>
    </row>
    <row r="362" spans="2:10">
      <c r="B362" s="25"/>
      <c r="C362" s="25"/>
      <c r="D362" s="25"/>
      <c r="E362" s="64"/>
      <c r="F362" s="64"/>
      <c r="G362" s="25"/>
      <c r="H362" s="25"/>
      <c r="I362" s="25"/>
      <c r="J362" s="25"/>
    </row>
    <row r="363" spans="2:10">
      <c r="B363" s="25"/>
      <c r="C363" s="25"/>
      <c r="D363" s="25"/>
      <c r="E363" s="64"/>
      <c r="F363" s="64"/>
      <c r="G363" s="25"/>
      <c r="H363" s="25"/>
      <c r="I363" s="25"/>
      <c r="J363" s="25"/>
    </row>
    <row r="364" spans="2:10">
      <c r="B364" s="25"/>
      <c r="C364" s="25"/>
      <c r="D364" s="25"/>
      <c r="E364" s="64"/>
      <c r="F364" s="64"/>
      <c r="G364" s="25"/>
      <c r="H364" s="25"/>
      <c r="I364" s="25"/>
      <c r="J364" s="25"/>
    </row>
    <row r="365" spans="2:10">
      <c r="B365" s="25"/>
      <c r="C365" s="25"/>
      <c r="D365" s="25"/>
      <c r="E365" s="64"/>
      <c r="F365" s="64"/>
      <c r="G365" s="25"/>
      <c r="H365" s="25"/>
      <c r="I365" s="25"/>
      <c r="J365" s="25"/>
    </row>
    <row r="366" spans="2:10">
      <c r="B366" s="25"/>
      <c r="C366" s="25"/>
      <c r="D366" s="25"/>
      <c r="E366" s="64"/>
      <c r="F366" s="64"/>
      <c r="G366" s="25"/>
      <c r="H366" s="25"/>
      <c r="I366" s="25"/>
      <c r="J366" s="25"/>
    </row>
    <row r="367" spans="2:10">
      <c r="B367" s="25"/>
      <c r="C367" s="25"/>
      <c r="D367" s="25"/>
      <c r="E367" s="64"/>
      <c r="F367" s="64"/>
      <c r="G367" s="25"/>
      <c r="H367" s="25"/>
      <c r="I367" s="25"/>
      <c r="J367" s="25"/>
    </row>
    <row r="368" spans="2:10">
      <c r="B368" s="25"/>
      <c r="C368" s="25"/>
      <c r="D368" s="25"/>
      <c r="E368" s="64"/>
      <c r="F368" s="64"/>
      <c r="G368" s="25"/>
      <c r="H368" s="25"/>
      <c r="I368" s="25"/>
      <c r="J368" s="25"/>
    </row>
    <row r="369" spans="2:10">
      <c r="B369" s="25"/>
      <c r="C369" s="25"/>
      <c r="D369" s="25"/>
      <c r="E369" s="64"/>
      <c r="F369" s="64"/>
      <c r="G369" s="25"/>
      <c r="H369" s="25"/>
      <c r="I369" s="25"/>
      <c r="J369" s="25"/>
    </row>
    <row r="370" spans="2:10">
      <c r="B370" s="25"/>
      <c r="C370" s="25"/>
      <c r="D370" s="25"/>
      <c r="E370" s="64"/>
      <c r="F370" s="64"/>
      <c r="G370" s="25"/>
      <c r="H370" s="25"/>
      <c r="I370" s="25"/>
      <c r="J370" s="25"/>
    </row>
    <row r="371" spans="2:10">
      <c r="B371" s="25"/>
      <c r="C371" s="25"/>
      <c r="D371" s="25"/>
      <c r="E371" s="64"/>
      <c r="F371" s="64"/>
      <c r="G371" s="25"/>
      <c r="H371" s="25"/>
      <c r="I371" s="25"/>
      <c r="J371" s="25"/>
    </row>
    <row r="372" spans="2:10">
      <c r="B372" s="25"/>
      <c r="C372" s="25"/>
      <c r="D372" s="25"/>
      <c r="E372" s="64"/>
      <c r="F372" s="64"/>
      <c r="G372" s="25"/>
      <c r="H372" s="25"/>
      <c r="I372" s="25"/>
      <c r="J372" s="25"/>
    </row>
    <row r="373" spans="2:10">
      <c r="B373" s="25"/>
      <c r="C373" s="25"/>
      <c r="D373" s="25"/>
      <c r="E373" s="64"/>
      <c r="F373" s="64"/>
      <c r="G373" s="25"/>
      <c r="H373" s="25"/>
      <c r="I373" s="25"/>
      <c r="J373" s="25"/>
    </row>
    <row r="374" spans="2:10">
      <c r="B374" s="25"/>
      <c r="C374" s="25"/>
      <c r="D374" s="25"/>
      <c r="E374" s="64"/>
      <c r="F374" s="64"/>
      <c r="G374" s="25"/>
      <c r="H374" s="25"/>
      <c r="I374" s="25"/>
      <c r="J374" s="25"/>
    </row>
    <row r="375" spans="2:10">
      <c r="B375" s="25"/>
      <c r="C375" s="25"/>
      <c r="D375" s="25"/>
      <c r="E375" s="64"/>
      <c r="F375" s="64"/>
      <c r="G375" s="25"/>
      <c r="H375" s="25"/>
      <c r="I375" s="25"/>
      <c r="J375" s="25"/>
    </row>
    <row r="376" spans="2:10">
      <c r="B376" s="25"/>
      <c r="C376" s="25"/>
      <c r="D376" s="25"/>
      <c r="E376" s="64"/>
      <c r="F376" s="64"/>
      <c r="G376" s="25"/>
      <c r="H376" s="25"/>
      <c r="I376" s="25"/>
      <c r="J376" s="25"/>
    </row>
    <row r="377" spans="2:10">
      <c r="B377" s="25"/>
      <c r="C377" s="25"/>
      <c r="D377" s="25"/>
      <c r="E377" s="64"/>
      <c r="F377" s="64"/>
      <c r="G377" s="25"/>
      <c r="H377" s="25"/>
      <c r="I377" s="25"/>
      <c r="J377" s="25"/>
    </row>
    <row r="378" spans="2:10">
      <c r="B378" s="25"/>
      <c r="C378" s="25"/>
      <c r="D378" s="25"/>
      <c r="E378" s="64"/>
      <c r="F378" s="64"/>
      <c r="G378" s="25"/>
      <c r="H378" s="25"/>
      <c r="I378" s="25"/>
      <c r="J378" s="25"/>
    </row>
    <row r="379" spans="2:10">
      <c r="B379" s="25"/>
      <c r="C379" s="25"/>
      <c r="D379" s="25"/>
      <c r="E379" s="64"/>
      <c r="F379" s="64"/>
      <c r="G379" s="25"/>
      <c r="H379" s="25"/>
      <c r="I379" s="25"/>
      <c r="J379" s="25"/>
    </row>
    <row r="380" spans="2:10">
      <c r="B380" s="25"/>
      <c r="C380" s="25"/>
      <c r="D380" s="25"/>
      <c r="E380" s="64"/>
      <c r="F380" s="64"/>
      <c r="G380" s="25"/>
      <c r="H380" s="25"/>
      <c r="I380" s="25"/>
      <c r="J380" s="25"/>
    </row>
    <row r="381" spans="2:10">
      <c r="B381" s="25"/>
      <c r="C381" s="25"/>
      <c r="D381" s="25"/>
      <c r="E381" s="64"/>
      <c r="F381" s="64"/>
      <c r="G381" s="25"/>
      <c r="H381" s="25"/>
      <c r="I381" s="25"/>
      <c r="J381" s="25"/>
    </row>
    <row r="382" spans="2:10">
      <c r="B382" s="25"/>
      <c r="C382" s="25"/>
      <c r="D382" s="25"/>
      <c r="E382" s="64"/>
      <c r="F382" s="64"/>
      <c r="G382" s="25"/>
      <c r="H382" s="25"/>
      <c r="I382" s="25"/>
      <c r="J382" s="25"/>
    </row>
    <row r="383" spans="2:10">
      <c r="B383" s="25"/>
      <c r="C383" s="25"/>
      <c r="D383" s="25"/>
      <c r="E383" s="64"/>
      <c r="F383" s="64"/>
      <c r="G383" s="25"/>
      <c r="H383" s="25"/>
      <c r="I383" s="25"/>
      <c r="J383" s="25"/>
    </row>
    <row r="384" spans="2:10">
      <c r="B384" s="25"/>
      <c r="C384" s="25"/>
      <c r="D384" s="25"/>
      <c r="E384" s="64"/>
      <c r="F384" s="64"/>
      <c r="G384" s="25"/>
      <c r="H384" s="25"/>
      <c r="I384" s="25"/>
      <c r="J384" s="25"/>
    </row>
    <row r="385" spans="2:10">
      <c r="B385" s="25"/>
      <c r="C385" s="25"/>
      <c r="D385" s="25"/>
      <c r="E385" s="64"/>
      <c r="F385" s="64"/>
      <c r="G385" s="25"/>
      <c r="H385" s="25"/>
      <c r="I385" s="25"/>
      <c r="J385" s="25"/>
    </row>
    <row r="386" spans="2:10">
      <c r="B386" s="25"/>
      <c r="C386" s="25"/>
      <c r="D386" s="25"/>
      <c r="E386" s="64"/>
      <c r="F386" s="64"/>
      <c r="G386" s="25"/>
      <c r="H386" s="25"/>
      <c r="I386" s="25"/>
      <c r="J386" s="25"/>
    </row>
    <row r="387" spans="2:10">
      <c r="B387" s="25"/>
      <c r="C387" s="25"/>
      <c r="D387" s="25"/>
      <c r="E387" s="64"/>
      <c r="F387" s="64"/>
      <c r="G387" s="25"/>
      <c r="H387" s="25"/>
      <c r="I387" s="25"/>
      <c r="J387" s="25"/>
    </row>
    <row r="388" spans="2:10">
      <c r="B388" s="25"/>
      <c r="C388" s="25"/>
      <c r="D388" s="25"/>
      <c r="E388" s="64"/>
      <c r="F388" s="64"/>
      <c r="G388" s="25"/>
      <c r="H388" s="25"/>
      <c r="I388" s="25"/>
      <c r="J388" s="25"/>
    </row>
    <row r="389" spans="2:10">
      <c r="B389" s="25"/>
      <c r="C389" s="25"/>
      <c r="D389" s="25"/>
      <c r="E389" s="64"/>
      <c r="F389" s="64"/>
      <c r="G389" s="25"/>
      <c r="H389" s="25"/>
      <c r="I389" s="25"/>
      <c r="J389" s="25"/>
    </row>
    <row r="390" spans="2:10">
      <c r="B390" s="25"/>
      <c r="C390" s="25"/>
      <c r="D390" s="25"/>
      <c r="E390" s="64"/>
      <c r="F390" s="64"/>
      <c r="G390" s="25"/>
      <c r="H390" s="25"/>
      <c r="I390" s="25"/>
      <c r="J390" s="25"/>
    </row>
    <row r="391" spans="2:10">
      <c r="B391" s="25"/>
      <c r="C391" s="25"/>
      <c r="D391" s="25"/>
      <c r="E391" s="64"/>
      <c r="F391" s="64"/>
      <c r="G391" s="25"/>
      <c r="H391" s="25"/>
      <c r="I391" s="25"/>
      <c r="J391" s="25"/>
    </row>
    <row r="392" spans="2:10">
      <c r="B392" s="25"/>
      <c r="C392" s="25"/>
      <c r="D392" s="25"/>
      <c r="E392" s="64"/>
      <c r="F392" s="64"/>
      <c r="G392" s="25"/>
      <c r="H392" s="25"/>
      <c r="I392" s="25"/>
      <c r="J392" s="25"/>
    </row>
    <row r="393" spans="2:10">
      <c r="B393" s="25"/>
      <c r="C393" s="25"/>
      <c r="D393" s="25"/>
      <c r="E393" s="64"/>
      <c r="F393" s="64"/>
      <c r="G393" s="25"/>
      <c r="H393" s="25"/>
      <c r="I393" s="25"/>
      <c r="J393" s="25"/>
    </row>
    <row r="394" spans="2:10">
      <c r="B394" s="25"/>
      <c r="C394" s="25"/>
      <c r="D394" s="25"/>
      <c r="E394" s="64"/>
      <c r="F394" s="64"/>
      <c r="G394" s="25"/>
      <c r="H394" s="25"/>
      <c r="I394" s="25"/>
      <c r="J394" s="25"/>
    </row>
    <row r="395" spans="2:10">
      <c r="B395" s="25"/>
      <c r="C395" s="25"/>
      <c r="D395" s="25"/>
      <c r="E395" s="64"/>
      <c r="F395" s="64"/>
      <c r="G395" s="25"/>
      <c r="H395" s="25"/>
      <c r="I395" s="25"/>
      <c r="J395" s="25"/>
    </row>
    <row r="396" spans="2:10">
      <c r="B396" s="25"/>
      <c r="C396" s="25"/>
      <c r="D396" s="25"/>
      <c r="E396" s="64"/>
      <c r="F396" s="64"/>
      <c r="G396" s="25"/>
      <c r="H396" s="25"/>
      <c r="I396" s="25"/>
      <c r="J396" s="25"/>
    </row>
    <row r="397" spans="2:10">
      <c r="B397" s="25"/>
      <c r="C397" s="25"/>
      <c r="D397" s="25"/>
      <c r="E397" s="64"/>
      <c r="F397" s="64"/>
      <c r="G397" s="25"/>
      <c r="H397" s="25"/>
      <c r="I397" s="25"/>
      <c r="J397" s="25"/>
    </row>
    <row r="398" spans="2:10">
      <c r="B398" s="25"/>
      <c r="C398" s="25"/>
      <c r="D398" s="25"/>
      <c r="E398" s="64"/>
      <c r="F398" s="64"/>
      <c r="G398" s="25"/>
      <c r="H398" s="25"/>
      <c r="I398" s="25"/>
      <c r="J398" s="25"/>
    </row>
    <row r="399" spans="2:10">
      <c r="B399" s="25"/>
      <c r="C399" s="25"/>
      <c r="D399" s="25"/>
      <c r="E399" s="64"/>
      <c r="F399" s="64"/>
      <c r="G399" s="25"/>
      <c r="H399" s="25"/>
      <c r="I399" s="25"/>
      <c r="J399" s="25"/>
    </row>
    <row r="400" spans="2:10">
      <c r="B400" s="25"/>
      <c r="C400" s="25"/>
      <c r="D400" s="25"/>
      <c r="E400" s="64"/>
      <c r="F400" s="64"/>
      <c r="G400" s="25"/>
      <c r="H400" s="25"/>
      <c r="I400" s="25"/>
      <c r="J400" s="25"/>
    </row>
    <row r="401" spans="2:10">
      <c r="B401" s="25"/>
      <c r="C401" s="25"/>
      <c r="D401" s="25"/>
      <c r="E401" s="64"/>
      <c r="F401" s="64"/>
      <c r="G401" s="25"/>
      <c r="H401" s="25"/>
      <c r="I401" s="25"/>
      <c r="J401" s="25"/>
    </row>
    <row r="402" spans="2:10">
      <c r="B402" s="25"/>
      <c r="C402" s="25"/>
      <c r="D402" s="25"/>
      <c r="E402" s="64"/>
      <c r="F402" s="64"/>
      <c r="G402" s="25"/>
      <c r="H402" s="25"/>
      <c r="I402" s="25"/>
      <c r="J402" s="25"/>
    </row>
    <row r="403" spans="2:10">
      <c r="B403" s="25"/>
      <c r="C403" s="25"/>
      <c r="D403" s="25"/>
      <c r="E403" s="64"/>
      <c r="F403" s="64"/>
      <c r="G403" s="25"/>
      <c r="H403" s="25"/>
      <c r="I403" s="25"/>
      <c r="J403" s="25"/>
    </row>
    <row r="404" spans="2:10">
      <c r="B404" s="25"/>
      <c r="C404" s="25"/>
      <c r="D404" s="25"/>
      <c r="E404" s="64"/>
      <c r="F404" s="64"/>
      <c r="G404" s="25"/>
      <c r="H404" s="25"/>
      <c r="I404" s="25"/>
      <c r="J404" s="25"/>
    </row>
    <row r="405" spans="2:10">
      <c r="B405" s="25"/>
      <c r="C405" s="25"/>
      <c r="D405" s="25"/>
      <c r="E405" s="64"/>
      <c r="F405" s="64"/>
      <c r="G405" s="25"/>
      <c r="H405" s="25"/>
      <c r="I405" s="25"/>
      <c r="J405" s="25"/>
    </row>
    <row r="406" spans="2:10">
      <c r="B406" s="25"/>
      <c r="C406" s="25"/>
      <c r="D406" s="25"/>
      <c r="E406" s="64"/>
      <c r="F406" s="64"/>
      <c r="G406" s="25"/>
      <c r="H406" s="25"/>
      <c r="I406" s="25"/>
      <c r="J406" s="25"/>
    </row>
    <row r="407" spans="2:10">
      <c r="B407" s="25"/>
      <c r="C407" s="25"/>
      <c r="D407" s="25"/>
      <c r="E407" s="64"/>
      <c r="F407" s="64"/>
      <c r="G407" s="25"/>
      <c r="H407" s="25"/>
      <c r="I407" s="25"/>
      <c r="J407" s="25"/>
    </row>
    <row r="408" spans="2:10">
      <c r="B408" s="25"/>
      <c r="C408" s="25"/>
      <c r="D408" s="25"/>
      <c r="E408" s="64"/>
      <c r="F408" s="64"/>
      <c r="G408" s="25"/>
      <c r="H408" s="25"/>
      <c r="I408" s="25"/>
      <c r="J408" s="25"/>
    </row>
    <row r="409" spans="2:10">
      <c r="B409" s="25"/>
      <c r="C409" s="25"/>
      <c r="D409" s="25"/>
      <c r="E409" s="64"/>
      <c r="F409" s="64"/>
      <c r="G409" s="25"/>
      <c r="H409" s="25"/>
      <c r="I409" s="25"/>
      <c r="J409" s="25"/>
    </row>
    <row r="410" spans="2:10">
      <c r="B410" s="25"/>
      <c r="C410" s="25"/>
      <c r="D410" s="25"/>
      <c r="E410" s="64"/>
      <c r="F410" s="64"/>
      <c r="G410" s="25"/>
      <c r="H410" s="25"/>
      <c r="I410" s="25"/>
      <c r="J410" s="25"/>
    </row>
    <row r="411" spans="2:10">
      <c r="B411" s="25"/>
      <c r="C411" s="25"/>
      <c r="D411" s="25"/>
      <c r="E411" s="64"/>
      <c r="F411" s="64"/>
      <c r="G411" s="25"/>
      <c r="H411" s="25"/>
      <c r="I411" s="25"/>
      <c r="J411" s="25"/>
    </row>
    <row r="412" spans="2:10">
      <c r="B412" s="25"/>
      <c r="C412" s="25"/>
      <c r="D412" s="25"/>
      <c r="E412" s="64"/>
      <c r="F412" s="64"/>
      <c r="G412" s="25"/>
      <c r="H412" s="25"/>
      <c r="I412" s="25"/>
      <c r="J412" s="25"/>
    </row>
    <row r="413" spans="2:10">
      <c r="B413" s="25"/>
      <c r="C413" s="25"/>
      <c r="D413" s="25"/>
      <c r="E413" s="64"/>
      <c r="F413" s="64"/>
      <c r="G413" s="25"/>
      <c r="H413" s="25"/>
      <c r="I413" s="25"/>
      <c r="J413" s="25"/>
    </row>
    <row r="414" spans="2:10">
      <c r="B414" s="25"/>
      <c r="C414" s="25"/>
      <c r="D414" s="25"/>
      <c r="E414" s="64"/>
      <c r="F414" s="64"/>
      <c r="G414" s="25"/>
      <c r="H414" s="25"/>
      <c r="I414" s="25"/>
      <c r="J414" s="25"/>
    </row>
    <row r="415" spans="2:10">
      <c r="B415" s="25"/>
      <c r="C415" s="25"/>
      <c r="D415" s="25"/>
      <c r="E415" s="64"/>
      <c r="F415" s="64"/>
      <c r="G415" s="25"/>
      <c r="H415" s="25"/>
      <c r="I415" s="25"/>
      <c r="J415" s="25"/>
    </row>
    <row r="416" spans="2:10">
      <c r="B416" s="25"/>
      <c r="C416" s="25"/>
      <c r="D416" s="25"/>
      <c r="E416" s="64"/>
      <c r="F416" s="64"/>
      <c r="G416" s="25"/>
      <c r="H416" s="25"/>
      <c r="I416" s="25"/>
      <c r="J416" s="25"/>
    </row>
    <row r="417" spans="2:10">
      <c r="B417" s="25"/>
      <c r="C417" s="25"/>
      <c r="D417" s="25"/>
      <c r="E417" s="64"/>
      <c r="F417" s="64"/>
      <c r="G417" s="25"/>
      <c r="H417" s="25"/>
      <c r="I417" s="25"/>
      <c r="J417" s="25"/>
    </row>
    <row r="418" spans="2:10">
      <c r="B418" s="25"/>
      <c r="C418" s="25"/>
      <c r="D418" s="25"/>
      <c r="E418" s="64"/>
      <c r="F418" s="64"/>
      <c r="G418" s="25"/>
      <c r="H418" s="25"/>
      <c r="I418" s="25"/>
      <c r="J418" s="25"/>
    </row>
    <row r="419" spans="2:10">
      <c r="B419" s="25"/>
      <c r="C419" s="25"/>
      <c r="D419" s="25"/>
      <c r="E419" s="64"/>
      <c r="F419" s="64"/>
      <c r="G419" s="25"/>
      <c r="H419" s="25"/>
      <c r="I419" s="25"/>
      <c r="J419" s="25"/>
    </row>
    <row r="420" spans="2:10">
      <c r="B420" s="25"/>
      <c r="C420" s="25"/>
      <c r="D420" s="25"/>
      <c r="E420" s="64"/>
      <c r="F420" s="64"/>
      <c r="G420" s="25"/>
      <c r="H420" s="25"/>
      <c r="I420" s="25"/>
      <c r="J420" s="25"/>
    </row>
    <row r="421" spans="2:10">
      <c r="B421" s="25"/>
      <c r="C421" s="25"/>
      <c r="D421" s="25"/>
      <c r="E421" s="64"/>
      <c r="F421" s="64"/>
      <c r="G421" s="25"/>
      <c r="H421" s="25"/>
      <c r="I421" s="25"/>
      <c r="J421" s="25"/>
    </row>
    <row r="422" spans="2:10">
      <c r="B422" s="25"/>
      <c r="C422" s="25"/>
      <c r="D422" s="25"/>
      <c r="E422" s="64"/>
      <c r="F422" s="64"/>
      <c r="G422" s="25"/>
      <c r="H422" s="25"/>
      <c r="I422" s="25"/>
      <c r="J422" s="25"/>
    </row>
    <row r="423" spans="2:10">
      <c r="B423" s="25"/>
      <c r="C423" s="25"/>
      <c r="D423" s="25"/>
      <c r="E423" s="64"/>
      <c r="F423" s="64"/>
      <c r="G423" s="25"/>
      <c r="H423" s="25"/>
      <c r="I423" s="25"/>
      <c r="J423" s="25"/>
    </row>
    <row r="424" spans="2:10">
      <c r="B424" s="25"/>
      <c r="C424" s="25"/>
      <c r="D424" s="25"/>
      <c r="E424" s="64"/>
      <c r="F424" s="64"/>
      <c r="G424" s="25"/>
      <c r="H424" s="25"/>
      <c r="I424" s="25"/>
      <c r="J424" s="25"/>
    </row>
    <row r="425" spans="2:10">
      <c r="B425" s="25"/>
      <c r="C425" s="25"/>
      <c r="D425" s="25"/>
      <c r="E425" s="64"/>
      <c r="F425" s="64"/>
      <c r="G425" s="25"/>
      <c r="H425" s="25"/>
      <c r="I425" s="25"/>
      <c r="J425" s="25"/>
    </row>
    <row r="426" spans="2:10">
      <c r="B426" s="25"/>
      <c r="C426" s="25"/>
      <c r="D426" s="25"/>
      <c r="E426" s="64"/>
      <c r="F426" s="64"/>
      <c r="G426" s="25"/>
      <c r="H426" s="25"/>
      <c r="I426" s="25"/>
      <c r="J426" s="25"/>
    </row>
    <row r="427" spans="2:10">
      <c r="B427" s="25"/>
      <c r="C427" s="25"/>
      <c r="D427" s="25"/>
      <c r="E427" s="64"/>
      <c r="F427" s="64"/>
      <c r="G427" s="25"/>
      <c r="H427" s="25"/>
      <c r="I427" s="25"/>
      <c r="J427" s="25"/>
    </row>
    <row r="428" spans="2:10">
      <c r="B428" s="25"/>
      <c r="C428" s="25"/>
      <c r="D428" s="25"/>
      <c r="E428" s="64"/>
      <c r="F428" s="64"/>
      <c r="G428" s="25"/>
      <c r="H428" s="25"/>
      <c r="I428" s="25"/>
      <c r="J428" s="25"/>
    </row>
    <row r="429" spans="2:10">
      <c r="B429" s="25"/>
      <c r="C429" s="25"/>
      <c r="D429" s="25"/>
      <c r="E429" s="64"/>
      <c r="F429" s="64"/>
      <c r="G429" s="25"/>
      <c r="H429" s="25"/>
      <c r="I429" s="25"/>
      <c r="J429" s="25"/>
    </row>
    <row r="430" spans="2:10">
      <c r="B430" s="25"/>
      <c r="C430" s="25"/>
      <c r="D430" s="25"/>
      <c r="E430" s="64"/>
      <c r="F430" s="64"/>
      <c r="G430" s="25"/>
      <c r="H430" s="25"/>
      <c r="I430" s="25"/>
      <c r="J430" s="25"/>
    </row>
    <row r="431" spans="2:10">
      <c r="B431" s="25"/>
      <c r="C431" s="25"/>
      <c r="D431" s="25"/>
      <c r="E431" s="64"/>
      <c r="F431" s="64"/>
      <c r="G431" s="25"/>
      <c r="H431" s="25"/>
      <c r="I431" s="25"/>
      <c r="J431" s="25"/>
    </row>
    <row r="432" spans="2:10">
      <c r="B432" s="25"/>
      <c r="C432" s="25"/>
      <c r="D432" s="25"/>
      <c r="E432" s="64"/>
      <c r="F432" s="64"/>
      <c r="G432" s="25"/>
      <c r="H432" s="25"/>
      <c r="I432" s="25"/>
      <c r="J432" s="25"/>
    </row>
    <row r="433" spans="2:10">
      <c r="B433" s="25"/>
      <c r="C433" s="25"/>
      <c r="D433" s="25"/>
      <c r="E433" s="64"/>
      <c r="F433" s="64"/>
      <c r="G433" s="25"/>
      <c r="H433" s="25"/>
      <c r="I433" s="25"/>
      <c r="J433" s="25"/>
    </row>
    <row r="434" spans="2:10">
      <c r="B434" s="25"/>
      <c r="C434" s="25"/>
      <c r="D434" s="25"/>
      <c r="E434" s="64"/>
      <c r="F434" s="64"/>
      <c r="G434" s="25"/>
      <c r="H434" s="25"/>
      <c r="I434" s="25"/>
      <c r="J434" s="25"/>
    </row>
    <row r="435" spans="2:10">
      <c r="B435" s="25"/>
      <c r="C435" s="25"/>
      <c r="D435" s="25"/>
      <c r="E435" s="64"/>
      <c r="F435" s="64"/>
      <c r="G435" s="25"/>
      <c r="H435" s="25"/>
      <c r="I435" s="25"/>
      <c r="J435" s="25"/>
    </row>
    <row r="436" spans="2:10">
      <c r="B436" s="25"/>
      <c r="C436" s="25"/>
      <c r="D436" s="25"/>
      <c r="E436" s="64"/>
      <c r="F436" s="64"/>
      <c r="G436" s="25"/>
      <c r="H436" s="25"/>
      <c r="I436" s="25"/>
      <c r="J436" s="25"/>
    </row>
    <row r="437" spans="2:10">
      <c r="B437" s="25"/>
      <c r="C437" s="25"/>
      <c r="D437" s="25"/>
      <c r="E437" s="64"/>
      <c r="F437" s="64"/>
      <c r="G437" s="25"/>
      <c r="H437" s="25"/>
      <c r="I437" s="25"/>
      <c r="J437" s="25"/>
    </row>
    <row r="438" spans="2:10">
      <c r="B438" s="25"/>
      <c r="C438" s="25"/>
      <c r="D438" s="25"/>
      <c r="E438" s="64"/>
      <c r="F438" s="64"/>
      <c r="G438" s="25"/>
      <c r="H438" s="25"/>
      <c r="I438" s="25"/>
      <c r="J438" s="25"/>
    </row>
    <row r="439" spans="2:10">
      <c r="B439" s="25"/>
      <c r="C439" s="25"/>
      <c r="D439" s="25"/>
      <c r="E439" s="64"/>
      <c r="F439" s="64"/>
      <c r="G439" s="25"/>
      <c r="H439" s="25"/>
      <c r="I439" s="25"/>
      <c r="J439" s="25"/>
    </row>
    <row r="440" spans="2:10">
      <c r="B440" s="25"/>
      <c r="C440" s="25"/>
      <c r="D440" s="25"/>
      <c r="E440" s="64"/>
      <c r="F440" s="64"/>
      <c r="G440" s="25"/>
      <c r="H440" s="25"/>
      <c r="I440" s="25"/>
      <c r="J440" s="25"/>
    </row>
    <row r="441" spans="2:10">
      <c r="B441" s="25"/>
      <c r="C441" s="25"/>
      <c r="D441" s="25"/>
      <c r="E441" s="64"/>
      <c r="F441" s="64"/>
      <c r="G441" s="25"/>
      <c r="H441" s="25"/>
      <c r="I441" s="25"/>
      <c r="J441" s="25"/>
    </row>
    <row r="442" spans="2:10">
      <c r="B442" s="25"/>
      <c r="C442" s="25"/>
      <c r="D442" s="25"/>
      <c r="E442" s="64"/>
      <c r="F442" s="64"/>
      <c r="G442" s="25"/>
      <c r="H442" s="25"/>
      <c r="I442" s="25"/>
      <c r="J442" s="25"/>
    </row>
    <row r="443" spans="2:10">
      <c r="B443" s="25"/>
      <c r="C443" s="25"/>
      <c r="D443" s="25"/>
      <c r="E443" s="64"/>
      <c r="F443" s="64"/>
      <c r="G443" s="25"/>
      <c r="H443" s="25"/>
      <c r="I443" s="25"/>
      <c r="J443" s="25"/>
    </row>
    <row r="444" spans="2:10">
      <c r="B444" s="25"/>
      <c r="C444" s="25"/>
      <c r="D444" s="25"/>
      <c r="E444" s="64"/>
      <c r="F444" s="64"/>
      <c r="G444" s="25"/>
      <c r="H444" s="25"/>
      <c r="I444" s="25"/>
      <c r="J444" s="25"/>
    </row>
    <row r="445" spans="2:10">
      <c r="B445" s="25"/>
      <c r="C445" s="25"/>
      <c r="D445" s="25"/>
      <c r="E445" s="64"/>
      <c r="F445" s="64"/>
      <c r="G445" s="25"/>
      <c r="H445" s="25"/>
      <c r="I445" s="25"/>
      <c r="J445" s="25"/>
    </row>
    <row r="446" spans="2:10">
      <c r="B446" s="25"/>
      <c r="C446" s="25"/>
      <c r="D446" s="25"/>
      <c r="E446" s="64"/>
      <c r="F446" s="64"/>
      <c r="G446" s="25"/>
      <c r="H446" s="25"/>
      <c r="I446" s="25"/>
      <c r="J446" s="25"/>
    </row>
    <row r="447" spans="2:10">
      <c r="B447" s="25"/>
      <c r="C447" s="25"/>
      <c r="D447" s="25"/>
      <c r="E447" s="64"/>
      <c r="F447" s="64"/>
      <c r="G447" s="25"/>
      <c r="H447" s="25"/>
      <c r="I447" s="25"/>
      <c r="J447" s="25"/>
    </row>
    <row r="448" spans="2:10">
      <c r="B448" s="25"/>
      <c r="C448" s="25"/>
      <c r="D448" s="25"/>
      <c r="E448" s="64"/>
      <c r="F448" s="64"/>
      <c r="G448" s="25"/>
      <c r="H448" s="25"/>
      <c r="I448" s="25"/>
      <c r="J448" s="25"/>
    </row>
    <row r="449" spans="2:10">
      <c r="B449" s="25"/>
      <c r="C449" s="25"/>
      <c r="D449" s="25"/>
      <c r="E449" s="64"/>
      <c r="F449" s="64"/>
      <c r="G449" s="25"/>
      <c r="H449" s="25"/>
      <c r="I449" s="25"/>
      <c r="J449" s="25"/>
    </row>
    <row r="450" spans="2:10">
      <c r="B450" s="25"/>
      <c r="C450" s="25"/>
      <c r="D450" s="25"/>
      <c r="E450" s="64"/>
      <c r="F450" s="64"/>
      <c r="G450" s="25"/>
      <c r="H450" s="25"/>
      <c r="I450" s="25"/>
      <c r="J450" s="25"/>
    </row>
    <row r="451" spans="2:10">
      <c r="B451" s="25"/>
      <c r="C451" s="25"/>
      <c r="D451" s="25"/>
      <c r="E451" s="64"/>
      <c r="F451" s="64"/>
      <c r="G451" s="25"/>
      <c r="H451" s="25"/>
      <c r="I451" s="25"/>
      <c r="J451" s="25"/>
    </row>
    <row r="452" spans="2:10">
      <c r="B452" s="25"/>
      <c r="C452" s="25"/>
      <c r="D452" s="25"/>
      <c r="E452" s="64"/>
      <c r="F452" s="64"/>
      <c r="G452" s="25"/>
      <c r="H452" s="25"/>
      <c r="I452" s="25"/>
      <c r="J452" s="25"/>
    </row>
    <row r="453" spans="2:10">
      <c r="B453" s="25"/>
      <c r="C453" s="25"/>
      <c r="D453" s="25"/>
      <c r="E453" s="64"/>
      <c r="F453" s="64"/>
      <c r="G453" s="25"/>
      <c r="H453" s="25"/>
      <c r="I453" s="25"/>
      <c r="J453" s="25"/>
    </row>
    <row r="454" spans="2:10">
      <c r="B454" s="25"/>
      <c r="C454" s="25"/>
      <c r="D454" s="25"/>
      <c r="E454" s="64"/>
      <c r="F454" s="64"/>
      <c r="G454" s="25"/>
      <c r="H454" s="25"/>
      <c r="I454" s="25"/>
      <c r="J454" s="25"/>
    </row>
    <row r="455" spans="2:10">
      <c r="B455" s="25"/>
      <c r="C455" s="25"/>
      <c r="D455" s="25"/>
      <c r="E455" s="64"/>
      <c r="F455" s="64"/>
      <c r="G455" s="25"/>
      <c r="H455" s="25"/>
      <c r="I455" s="25"/>
      <c r="J455" s="25"/>
    </row>
    <row r="456" spans="2:10">
      <c r="B456" s="25"/>
      <c r="C456" s="25"/>
      <c r="D456" s="25"/>
      <c r="E456" s="64"/>
      <c r="F456" s="64"/>
      <c r="G456" s="25"/>
      <c r="H456" s="25"/>
      <c r="I456" s="25"/>
      <c r="J456" s="25"/>
    </row>
    <row r="457" spans="2:10">
      <c r="B457" s="25"/>
      <c r="C457" s="25"/>
      <c r="D457" s="25"/>
      <c r="E457" s="64"/>
      <c r="F457" s="64"/>
      <c r="G457" s="25"/>
      <c r="H457" s="25"/>
      <c r="I457" s="25"/>
      <c r="J457" s="25"/>
    </row>
    <row r="458" spans="2:10">
      <c r="B458" s="25"/>
      <c r="C458" s="25"/>
      <c r="D458" s="25"/>
      <c r="E458" s="64"/>
      <c r="F458" s="64"/>
      <c r="G458" s="25"/>
      <c r="H458" s="25"/>
      <c r="I458" s="25"/>
      <c r="J458" s="25"/>
    </row>
    <row r="459" spans="2:10">
      <c r="B459" s="25"/>
      <c r="C459" s="25"/>
      <c r="D459" s="25"/>
      <c r="E459" s="64"/>
      <c r="F459" s="64"/>
      <c r="G459" s="25"/>
      <c r="H459" s="25"/>
      <c r="I459" s="25"/>
      <c r="J459" s="25"/>
    </row>
    <row r="460" spans="2:10">
      <c r="B460" s="25"/>
      <c r="C460" s="25"/>
      <c r="D460" s="25"/>
      <c r="E460" s="64"/>
      <c r="F460" s="64"/>
      <c r="G460" s="25"/>
      <c r="H460" s="25"/>
      <c r="I460" s="25"/>
      <c r="J460" s="25"/>
    </row>
    <row r="461" spans="2:10">
      <c r="B461" s="25"/>
      <c r="C461" s="25"/>
      <c r="D461" s="25"/>
      <c r="E461" s="64"/>
      <c r="F461" s="64"/>
      <c r="G461" s="25"/>
      <c r="H461" s="25"/>
      <c r="I461" s="25"/>
      <c r="J461" s="25"/>
    </row>
    <row r="462" spans="2:10">
      <c r="B462" s="25"/>
      <c r="C462" s="25"/>
      <c r="D462" s="25"/>
      <c r="E462" s="64"/>
      <c r="F462" s="64"/>
      <c r="G462" s="25"/>
      <c r="H462" s="25"/>
      <c r="I462" s="25"/>
      <c r="J462" s="25"/>
    </row>
    <row r="463" spans="2:10">
      <c r="B463" s="25"/>
      <c r="C463" s="25"/>
      <c r="D463" s="25"/>
      <c r="E463" s="64"/>
      <c r="F463" s="64"/>
      <c r="G463" s="25"/>
      <c r="H463" s="25"/>
      <c r="I463" s="25"/>
      <c r="J463" s="25"/>
    </row>
    <row r="464" spans="2:10">
      <c r="B464" s="25"/>
      <c r="C464" s="25"/>
      <c r="D464" s="25"/>
      <c r="E464" s="64"/>
      <c r="F464" s="64"/>
      <c r="G464" s="25"/>
      <c r="H464" s="25"/>
      <c r="I464" s="25"/>
      <c r="J464" s="25"/>
    </row>
    <row r="465" spans="2:10">
      <c r="B465" s="25"/>
      <c r="C465" s="25"/>
      <c r="D465" s="25"/>
      <c r="E465" s="64"/>
      <c r="F465" s="64"/>
      <c r="G465" s="25"/>
      <c r="H465" s="25"/>
      <c r="I465" s="25"/>
      <c r="J465" s="25"/>
    </row>
    <row r="466" spans="2:10">
      <c r="B466" s="25"/>
      <c r="C466" s="25"/>
      <c r="D466" s="25"/>
      <c r="E466" s="64"/>
      <c r="F466" s="64"/>
      <c r="G466" s="25"/>
      <c r="H466" s="25"/>
      <c r="I466" s="25"/>
      <c r="J466" s="25"/>
    </row>
    <row r="467" spans="2:10">
      <c r="B467" s="25"/>
      <c r="C467" s="25"/>
      <c r="D467" s="25"/>
      <c r="E467" s="64"/>
      <c r="F467" s="64"/>
      <c r="G467" s="25"/>
      <c r="H467" s="25"/>
      <c r="I467" s="25"/>
      <c r="J467" s="25"/>
    </row>
    <row r="468" spans="2:10">
      <c r="B468" s="25"/>
      <c r="C468" s="25"/>
      <c r="D468" s="25"/>
      <c r="E468" s="64"/>
      <c r="F468" s="64"/>
      <c r="G468" s="25"/>
      <c r="H468" s="25"/>
      <c r="I468" s="25"/>
      <c r="J468" s="25"/>
    </row>
    <row r="469" spans="2:10">
      <c r="B469" s="25"/>
      <c r="C469" s="25"/>
      <c r="D469" s="25"/>
      <c r="E469" s="64"/>
      <c r="F469" s="64"/>
      <c r="G469" s="25"/>
      <c r="H469" s="25"/>
      <c r="I469" s="25"/>
      <c r="J469" s="25"/>
    </row>
    <row r="470" spans="2:10">
      <c r="B470" s="25"/>
      <c r="C470" s="25"/>
      <c r="D470" s="25"/>
      <c r="E470" s="64"/>
      <c r="F470" s="64"/>
      <c r="G470" s="25"/>
      <c r="H470" s="25"/>
      <c r="I470" s="25"/>
      <c r="J470" s="25"/>
    </row>
    <row r="471" spans="2:10">
      <c r="B471" s="25"/>
      <c r="C471" s="25"/>
      <c r="D471" s="25"/>
      <c r="E471" s="64"/>
      <c r="F471" s="64"/>
      <c r="G471" s="25"/>
      <c r="H471" s="25"/>
      <c r="I471" s="25"/>
      <c r="J471" s="25"/>
    </row>
    <row r="472" spans="2:10">
      <c r="B472" s="25"/>
      <c r="C472" s="25"/>
      <c r="D472" s="25"/>
      <c r="E472" s="64"/>
      <c r="F472" s="64"/>
      <c r="G472" s="25"/>
      <c r="H472" s="25"/>
      <c r="I472" s="25"/>
      <c r="J472" s="25"/>
    </row>
    <row r="473" spans="2:10">
      <c r="B473" s="25"/>
      <c r="C473" s="25"/>
      <c r="D473" s="25"/>
      <c r="E473" s="64"/>
      <c r="F473" s="64"/>
      <c r="G473" s="25"/>
      <c r="H473" s="25"/>
      <c r="I473" s="25"/>
      <c r="J473" s="25"/>
    </row>
    <row r="474" spans="2:10">
      <c r="B474" s="25"/>
      <c r="C474" s="25"/>
      <c r="D474" s="25"/>
      <c r="E474" s="64"/>
      <c r="F474" s="64"/>
      <c r="G474" s="25"/>
      <c r="H474" s="25"/>
      <c r="I474" s="25"/>
      <c r="J474" s="25"/>
    </row>
    <row r="475" spans="2:10">
      <c r="B475" s="25"/>
      <c r="C475" s="25"/>
      <c r="D475" s="25"/>
      <c r="E475" s="64"/>
      <c r="F475" s="64"/>
      <c r="G475" s="25"/>
      <c r="H475" s="25"/>
      <c r="I475" s="25"/>
      <c r="J475" s="25"/>
    </row>
    <row r="476" spans="2:10">
      <c r="B476" s="25"/>
      <c r="C476" s="25"/>
      <c r="D476" s="25"/>
      <c r="E476" s="64"/>
      <c r="F476" s="64"/>
      <c r="G476" s="25"/>
      <c r="H476" s="25"/>
      <c r="I476" s="25"/>
      <c r="J476" s="25"/>
    </row>
    <row r="477" spans="2:10">
      <c r="B477" s="25"/>
      <c r="C477" s="25"/>
      <c r="D477" s="25"/>
      <c r="E477" s="64"/>
      <c r="F477" s="64"/>
      <c r="G477" s="25"/>
      <c r="H477" s="25"/>
      <c r="I477" s="25"/>
      <c r="J477" s="25"/>
    </row>
    <row r="478" spans="2:10">
      <c r="B478" s="25"/>
      <c r="C478" s="25"/>
      <c r="D478" s="25"/>
      <c r="E478" s="64"/>
      <c r="F478" s="64"/>
      <c r="G478" s="25"/>
      <c r="H478" s="25"/>
      <c r="I478" s="25"/>
      <c r="J478" s="25"/>
    </row>
    <row r="479" spans="2:10">
      <c r="B479" s="25"/>
      <c r="C479" s="25"/>
      <c r="D479" s="25"/>
      <c r="E479" s="64"/>
      <c r="F479" s="64"/>
      <c r="G479" s="25"/>
      <c r="H479" s="25"/>
      <c r="I479" s="25"/>
      <c r="J479" s="25"/>
    </row>
    <row r="480" spans="2:10">
      <c r="B480" s="25"/>
      <c r="C480" s="25"/>
      <c r="D480" s="25"/>
      <c r="E480" s="64"/>
      <c r="F480" s="64"/>
      <c r="G480" s="25"/>
      <c r="H480" s="25"/>
      <c r="I480" s="25"/>
      <c r="J480" s="25"/>
    </row>
    <row r="481" spans="2:10">
      <c r="B481" s="25"/>
      <c r="C481" s="25"/>
      <c r="D481" s="25"/>
      <c r="E481" s="64"/>
      <c r="F481" s="64"/>
      <c r="G481" s="25"/>
      <c r="H481" s="25"/>
      <c r="I481" s="25"/>
      <c r="J481" s="25"/>
    </row>
    <row r="482" spans="2:10">
      <c r="B482" s="25"/>
      <c r="C482" s="25"/>
      <c r="D482" s="25"/>
      <c r="E482" s="64"/>
      <c r="F482" s="64"/>
      <c r="G482" s="25"/>
      <c r="H482" s="25"/>
      <c r="I482" s="25"/>
      <c r="J482" s="25"/>
    </row>
    <row r="483" spans="2:10">
      <c r="B483" s="25"/>
      <c r="C483" s="25"/>
      <c r="D483" s="25"/>
      <c r="E483" s="64"/>
      <c r="F483" s="64"/>
      <c r="G483" s="25"/>
      <c r="H483" s="25"/>
      <c r="I483" s="25"/>
      <c r="J483" s="25"/>
    </row>
    <row r="484" spans="2:10">
      <c r="B484" s="25"/>
      <c r="C484" s="25"/>
      <c r="D484" s="25"/>
      <c r="E484" s="64"/>
      <c r="F484" s="64"/>
      <c r="G484" s="25"/>
      <c r="H484" s="25"/>
      <c r="I484" s="25"/>
      <c r="J484" s="25"/>
    </row>
    <row r="485" spans="2:10">
      <c r="B485" s="25"/>
      <c r="C485" s="25"/>
      <c r="D485" s="25"/>
      <c r="E485" s="64"/>
      <c r="F485" s="64"/>
      <c r="G485" s="25"/>
      <c r="H485" s="25"/>
      <c r="I485" s="25"/>
      <c r="J485" s="25"/>
    </row>
    <row r="486" spans="2:10">
      <c r="B486" s="25"/>
      <c r="C486" s="25"/>
      <c r="D486" s="25"/>
      <c r="E486" s="64"/>
      <c r="F486" s="64"/>
      <c r="G486" s="25"/>
      <c r="H486" s="25"/>
      <c r="I486" s="25"/>
      <c r="J486" s="25"/>
    </row>
    <row r="487" spans="2:10">
      <c r="B487" s="25"/>
      <c r="C487" s="25"/>
      <c r="D487" s="25"/>
      <c r="E487" s="64"/>
      <c r="F487" s="64"/>
      <c r="G487" s="25"/>
      <c r="H487" s="25"/>
      <c r="I487" s="25"/>
      <c r="J487" s="25"/>
    </row>
    <row r="488" spans="2:10">
      <c r="B488" s="25"/>
      <c r="C488" s="25"/>
      <c r="D488" s="25"/>
      <c r="E488" s="64"/>
      <c r="F488" s="64"/>
      <c r="G488" s="25"/>
      <c r="H488" s="25"/>
      <c r="I488" s="25"/>
      <c r="J488" s="25"/>
    </row>
    <row r="489" spans="2:10">
      <c r="B489" s="25"/>
      <c r="C489" s="25"/>
      <c r="D489" s="25"/>
      <c r="E489" s="64"/>
      <c r="F489" s="64"/>
      <c r="G489" s="25"/>
      <c r="H489" s="25"/>
      <c r="I489" s="25"/>
      <c r="J489" s="25"/>
    </row>
    <row r="490" spans="2:10">
      <c r="B490" s="25"/>
      <c r="C490" s="25"/>
      <c r="D490" s="25"/>
      <c r="E490" s="64"/>
      <c r="F490" s="64"/>
      <c r="G490" s="25"/>
      <c r="H490" s="25"/>
      <c r="I490" s="25"/>
      <c r="J490" s="25"/>
    </row>
    <row r="491" spans="2:10">
      <c r="B491" s="25"/>
      <c r="C491" s="25"/>
      <c r="D491" s="25"/>
      <c r="E491" s="64"/>
      <c r="F491" s="64"/>
      <c r="G491" s="25"/>
      <c r="H491" s="25"/>
      <c r="I491" s="25"/>
      <c r="J491" s="25"/>
    </row>
    <row r="492" spans="2:10">
      <c r="B492" s="25"/>
      <c r="C492" s="25"/>
      <c r="D492" s="25"/>
      <c r="E492" s="64"/>
      <c r="F492" s="64"/>
      <c r="G492" s="25"/>
      <c r="H492" s="25"/>
      <c r="I492" s="25"/>
      <c r="J492" s="25"/>
    </row>
    <row r="493" spans="2:10">
      <c r="B493" s="25"/>
      <c r="C493" s="25"/>
      <c r="D493" s="25"/>
      <c r="E493" s="64"/>
      <c r="F493" s="64"/>
      <c r="G493" s="25"/>
      <c r="H493" s="25"/>
      <c r="I493" s="25"/>
      <c r="J493" s="25"/>
    </row>
    <row r="494" spans="2:10">
      <c r="B494" s="25"/>
      <c r="C494" s="25"/>
      <c r="D494" s="25"/>
      <c r="E494" s="64"/>
      <c r="F494" s="64"/>
      <c r="G494" s="25"/>
      <c r="H494" s="25"/>
      <c r="I494" s="25"/>
      <c r="J494" s="25"/>
    </row>
    <row r="495" spans="2:10">
      <c r="B495" s="25"/>
      <c r="C495" s="25"/>
      <c r="D495" s="25"/>
      <c r="E495" s="64"/>
      <c r="F495" s="64"/>
      <c r="G495" s="25"/>
      <c r="H495" s="25"/>
      <c r="I495" s="25"/>
      <c r="J495" s="25"/>
    </row>
    <row r="496" spans="2:10">
      <c r="B496" s="25"/>
      <c r="C496" s="25"/>
      <c r="D496" s="25"/>
      <c r="E496" s="64"/>
      <c r="F496" s="64"/>
      <c r="G496" s="25"/>
      <c r="H496" s="25"/>
      <c r="I496" s="25"/>
      <c r="J496" s="25"/>
    </row>
    <row r="497" spans="2:10">
      <c r="B497" s="25"/>
      <c r="C497" s="25"/>
      <c r="D497" s="25"/>
      <c r="E497" s="64"/>
      <c r="F497" s="64"/>
      <c r="G497" s="25"/>
      <c r="H497" s="25"/>
      <c r="I497" s="25"/>
      <c r="J497" s="25"/>
    </row>
    <row r="498" spans="2:10">
      <c r="B498" s="25"/>
      <c r="C498" s="25"/>
      <c r="D498" s="25"/>
      <c r="E498" s="64"/>
      <c r="F498" s="64"/>
      <c r="G498" s="25"/>
      <c r="H498" s="25"/>
      <c r="I498" s="25"/>
      <c r="J498" s="25"/>
    </row>
  </sheetData>
  <dataConsolidate/>
  <hyperlinks>
    <hyperlink ref="E2" r:id="rId1" xr:uid="{9C9E0D31-C8B7-4A12-A024-123856BF8FF0}"/>
    <hyperlink ref="D5" r:id="rId2" display="https://sourceforge.net/projects/weka/" xr:uid="{92352925-0630-443F-B727-3C73EAFA29E0}"/>
    <hyperlink ref="D6" r:id="rId3" display="https://realrolfje.github.io/anonimatron/" xr:uid="{7A93A4F4-3336-443E-85FB-10047496691D}"/>
    <hyperlink ref="E5" r:id="rId4" display="https://sourceforge.net/directory/license:gplv3/" xr:uid="{F52FBF2A-93AF-41A0-A519-2C63CA2EE823}"/>
    <hyperlink ref="D3" r:id="rId5" display="https://www.rapidminer.com" xr:uid="{8E57E012-1AA5-4CF1-8C5C-8DBE04A1E917}"/>
    <hyperlink ref="D24" r:id="rId6" display="https://github.com/cytoscape/cytoscape-tutorials/wiki" xr:uid="{3C19A74B-9900-4299-8C5F-AEC6CC1A76BC}"/>
    <hyperlink ref="D25" r:id="rId7" display="https://deeperinsights.com/healthcare-analytics/" xr:uid="{E00C526D-E4C2-40A4-90EB-C718A07A24E9}"/>
    <hyperlink ref="D9" r:id="rId8" display="https://sourceforge.net/projects/dataquality/" xr:uid="{14325DD4-62F2-482E-96C5-8561580C4432}"/>
    <hyperlink ref="E9" r:id="rId9" display="https://sourceforge.net/directory/license:gplv3/" xr:uid="{48628810-6725-4B0C-B940-ABB6B674FBBE}"/>
    <hyperlink ref="D8" r:id="rId10" xr:uid="{6758369C-072A-4FB5-A573-0E22811B6339}"/>
    <hyperlink ref="D15" r:id="rId11" display="http://openrefine.org/" xr:uid="{E2888317-B322-449A-9DD8-631178A3998E}"/>
    <hyperlink ref="D16" r:id="rId12" display="http://datacleaner.org/docs" xr:uid="{A5DB81D8-4726-415A-9834-2BBEF7C94D4E}"/>
    <hyperlink ref="D17" r:id="rId13" display="http://dataladder.com/data-matching-software/" xr:uid="{30970459-D753-4405-B8EC-B5901799DE99}"/>
    <hyperlink ref="D18" r:id="rId14" display="http://www.datamartist.com/" xr:uid="{77E685C4-637B-40D9-860F-41DF5BBDEBD3}"/>
    <hyperlink ref="D19" r:id="rId15" display="http://wiki.pentaho.com/display/EAI/Latest+Pentaho+Data+Integration+%28aka+Kettle%29+Documentation" xr:uid="{323DB7CF-7545-40A8-B291-E310AC465915}"/>
    <hyperlink ref="D20" r:id="rId16" display="http://www.sqlpower.ca/page/architect" xr:uid="{314C7B4B-5B21-4220-A896-C59A11A556E0}"/>
    <hyperlink ref="D21" r:id="rId17" display="http://www.sqlpower.ca/page/dqguru" xr:uid="{EE726BFB-FF1C-4FB7-88E5-6C04391A0CCB}"/>
    <hyperlink ref="D22" r:id="rId18" display="https://www.ataccama.com/products/dq-analyzer" xr:uid="{325CF01A-42D5-4645-B0FD-68B4381CC2FB}"/>
    <hyperlink ref="E24" r:id="rId19" xr:uid="{0C90847B-2D28-449F-B3BE-CE1E3A18E356}"/>
    <hyperlink ref="D7" r:id="rId20" display="https://arx.deidentifier.org/" xr:uid="{4B93092B-2710-4FE8-BFA6-9AA620CA83C0}"/>
    <hyperlink ref="D4" r:id="rId21" xr:uid="{2FC3C82C-AC5B-433A-9200-74E392390C21}"/>
    <hyperlink ref="E4" r:id="rId22" xr:uid="{69465403-B6F7-428C-8DBD-95A1759C971F}"/>
    <hyperlink ref="E3" r:id="rId23" xr:uid="{D01C7D65-87EA-48E4-8A64-AC7794515C73}"/>
    <hyperlink ref="D2" r:id="rId24" display="http://orange.biolab.si/" xr:uid="{EE566E3F-4EBC-4FC3-8B46-3A48BF03A73B}"/>
    <hyperlink ref="J12" display="https://www.talend.com/products/pricing-model/_x000a__x000a_Talend Open Studio for Data Quality and Talend Data Preparation Free Desktop.  Do simple cleansing, data manipulation, standardization and enrichment._x000a__x000a_Datasets can be a local or remote file that can be impo" xr:uid="{ADFBA154-5D3C-484A-B99F-326A82FB5A20}"/>
  </hyperlinks>
  <pageMargins left="0.7" right="0.7" top="0.75" bottom="0.75" header="0.3" footer="0.3"/>
  <pageSetup orientation="portrait" r:id="rId25"/>
  <tableParts count="1">
    <tablePart r:id="rId2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Definitions</vt:lpstr>
      <vt:lpstr>Tool Connectivity, Data Formats</vt:lpstr>
      <vt:lpstr>Tool Matrix</vt:lpstr>
      <vt:lpstr>Tool Ranking</vt:lpstr>
      <vt:lpstr>FeatureTree</vt:lpstr>
      <vt:lpstr>Info Cards</vt:lpstr>
      <vt:lpstr>'Info Cards'!InfoCards</vt:lpstr>
      <vt:lpstr>'Tool Matrix'!Tools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Enez McCondochie</dc:creator>
  <cp:lastModifiedBy>Enez McCondochie</cp:lastModifiedBy>
  <dcterms:created xsi:type="dcterms:W3CDTF">2020-03-31T22:41:06Z</dcterms:created>
  <dcterms:modified xsi:type="dcterms:W3CDTF">2020-07-29T21:43:48Z</dcterms:modified>
</cp:coreProperties>
</file>